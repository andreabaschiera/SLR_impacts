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CES\ICES_database\ICES_XPS_prep\"/>
    </mc:Choice>
  </mc:AlternateContent>
  <xr:revisionPtr revIDLastSave="0" documentId="13_ncr:1_{BDB98369-AAC7-4E2A-AAF1-4170862C4071}" xr6:coauthVersionLast="47" xr6:coauthVersionMax="47" xr10:uidLastSave="{00000000-0000-0000-0000-000000000000}"/>
  <bookViews>
    <workbookView xWindow="28680" yWindow="-120" windowWidth="29040" windowHeight="15720" firstSheet="1" activeTab="1" xr2:uid="{496E6FDF-81F9-4EE6-9CFD-87AFC24A982C}"/>
  </bookViews>
  <sheets>
    <sheet name="ICES_MH_sec" sheetId="2" r:id="rId1"/>
    <sheet name="ICES_MH_reg" sheetId="4" r:id="rId2"/>
    <sheet name="old_sect" sheetId="5" r:id="rId3"/>
    <sheet name="new_sec" sheetId="6" r:id="rId4"/>
    <sheet name="old_sec_mapping" sheetId="7" r:id="rId5"/>
    <sheet name="new_sec_mapping" sheetId="8" r:id="rId6"/>
    <sheet name="old_reg" sheetId="9" r:id="rId7"/>
    <sheet name="new_reg" sheetId="12" r:id="rId8"/>
    <sheet name="old_reg_mapping" sheetId="13" r:id="rId9"/>
    <sheet name="new_reg_mapping" sheetId="10" r:id="rId10"/>
    <sheet name="endow_old" sheetId="14" r:id="rId11"/>
    <sheet name="endow_new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5" l="1"/>
  <c r="I15" i="15"/>
  <c r="I16" i="15"/>
  <c r="I17" i="15"/>
  <c r="I18" i="15"/>
  <c r="I19" i="15"/>
  <c r="I20" i="15"/>
  <c r="I13" i="15"/>
  <c r="I5" i="15"/>
  <c r="I12" i="14"/>
  <c r="I13" i="14"/>
  <c r="I14" i="14"/>
  <c r="I15" i="14"/>
  <c r="I16" i="14"/>
  <c r="I17" i="14"/>
  <c r="I18" i="14"/>
  <c r="I11" i="14"/>
  <c r="N5" i="10"/>
  <c r="C5" i="10" s="1"/>
  <c r="N4" i="10"/>
  <c r="N9" i="10"/>
  <c r="L83" i="10"/>
  <c r="M83" i="10" s="1"/>
  <c r="N83" i="10" s="1"/>
  <c r="C83" i="10" s="1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L57" i="10"/>
  <c r="M57" i="10" s="1"/>
  <c r="N57" i="10" s="1"/>
  <c r="C57" i="10" s="1"/>
  <c r="L58" i="10"/>
  <c r="M58" i="10" s="1"/>
  <c r="N58" i="10" s="1"/>
  <c r="C58" i="10" s="1"/>
  <c r="L59" i="10"/>
  <c r="M59" i="10"/>
  <c r="N59" i="10" s="1"/>
  <c r="C59" i="10" s="1"/>
  <c r="L60" i="10"/>
  <c r="M60" i="10" s="1"/>
  <c r="N60" i="10" s="1"/>
  <c r="C60" i="10" s="1"/>
  <c r="L61" i="10"/>
  <c r="M61" i="10" s="1"/>
  <c r="N61" i="10" s="1"/>
  <c r="C61" i="10" s="1"/>
  <c r="L62" i="10"/>
  <c r="M62" i="10" s="1"/>
  <c r="N62" i="10" s="1"/>
  <c r="C62" i="10" s="1"/>
  <c r="L63" i="10"/>
  <c r="M63" i="10"/>
  <c r="N63" i="10" s="1"/>
  <c r="C63" i="10" s="1"/>
  <c r="L64" i="10"/>
  <c r="M64" i="10" s="1"/>
  <c r="N64" i="10" s="1"/>
  <c r="C64" i="10" s="1"/>
  <c r="L65" i="10"/>
  <c r="M65" i="10"/>
  <c r="N65" i="10" s="1"/>
  <c r="C65" i="10" s="1"/>
  <c r="L66" i="10"/>
  <c r="M66" i="10" s="1"/>
  <c r="N66" i="10" s="1"/>
  <c r="C66" i="10" s="1"/>
  <c r="L67" i="10"/>
  <c r="M67" i="10"/>
  <c r="N67" i="10" s="1"/>
  <c r="C67" i="10" s="1"/>
  <c r="L68" i="10"/>
  <c r="M68" i="10" s="1"/>
  <c r="N68" i="10" s="1"/>
  <c r="C68" i="10" s="1"/>
  <c r="L69" i="10"/>
  <c r="M69" i="10"/>
  <c r="N69" i="10" s="1"/>
  <c r="C69" i="10" s="1"/>
  <c r="L70" i="10"/>
  <c r="M70" i="10" s="1"/>
  <c r="N70" i="10" s="1"/>
  <c r="C70" i="10" s="1"/>
  <c r="L71" i="10"/>
  <c r="M71" i="10"/>
  <c r="N71" i="10" s="1"/>
  <c r="C71" i="10" s="1"/>
  <c r="L72" i="10"/>
  <c r="M72" i="10" s="1"/>
  <c r="N72" i="10" s="1"/>
  <c r="C72" i="10" s="1"/>
  <c r="L73" i="10"/>
  <c r="M73" i="10"/>
  <c r="N73" i="10" s="1"/>
  <c r="C73" i="10" s="1"/>
  <c r="L74" i="10"/>
  <c r="M74" i="10" s="1"/>
  <c r="N74" i="10" s="1"/>
  <c r="C74" i="10" s="1"/>
  <c r="L75" i="10"/>
  <c r="M75" i="10"/>
  <c r="N75" i="10" s="1"/>
  <c r="C75" i="10" s="1"/>
  <c r="L76" i="10"/>
  <c r="M76" i="10" s="1"/>
  <c r="N76" i="10" s="1"/>
  <c r="C76" i="10" s="1"/>
  <c r="L77" i="10"/>
  <c r="M77" i="10"/>
  <c r="N77" i="10" s="1"/>
  <c r="C77" i="10" s="1"/>
  <c r="L78" i="10"/>
  <c r="M78" i="10" s="1"/>
  <c r="N78" i="10" s="1"/>
  <c r="C78" i="10" s="1"/>
  <c r="L79" i="10"/>
  <c r="M79" i="10"/>
  <c r="N79" i="10" s="1"/>
  <c r="C79" i="10" s="1"/>
  <c r="L80" i="10"/>
  <c r="M80" i="10" s="1"/>
  <c r="N80" i="10" s="1"/>
  <c r="C80" i="10" s="1"/>
  <c r="L81" i="10"/>
  <c r="M81" i="10"/>
  <c r="N81" i="10" s="1"/>
  <c r="C81" i="10" s="1"/>
  <c r="L82" i="10"/>
  <c r="M82" i="10" s="1"/>
  <c r="N82" i="10" s="1"/>
  <c r="C82" i="10" s="1"/>
  <c r="M56" i="10"/>
  <c r="N56" i="10"/>
  <c r="C56" i="10" s="1"/>
  <c r="L56" i="10"/>
  <c r="A2" i="12"/>
  <c r="A3" i="12"/>
  <c r="A4" i="12"/>
  <c r="G4" i="12" s="1"/>
  <c r="G2" i="12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1" i="8"/>
  <c r="I4" i="15"/>
  <c r="I3" i="15"/>
  <c r="I2" i="15"/>
  <c r="I1" i="15"/>
  <c r="I2" i="14"/>
  <c r="I3" i="14"/>
  <c r="I4" i="14"/>
  <c r="I5" i="14"/>
  <c r="I6" i="14"/>
  <c r="I7" i="14"/>
  <c r="I8" i="14"/>
  <c r="I1" i="14"/>
  <c r="C2" i="10"/>
  <c r="C3" i="10"/>
  <c r="C4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" i="10"/>
  <c r="A44" i="12"/>
  <c r="C44" i="12"/>
  <c r="G44" i="12"/>
  <c r="A45" i="12"/>
  <c r="C45" i="12"/>
  <c r="G45" i="12"/>
  <c r="G3" i="12"/>
  <c r="G5" i="12"/>
  <c r="G6" i="12"/>
  <c r="G7" i="12"/>
  <c r="G8" i="12"/>
  <c r="G9" i="12"/>
  <c r="G10" i="12"/>
  <c r="G11" i="12"/>
  <c r="G12" i="12"/>
  <c r="G24" i="12"/>
  <c r="G25" i="12"/>
  <c r="G26" i="12"/>
  <c r="G32" i="12"/>
  <c r="G33" i="12"/>
  <c r="G34" i="12"/>
  <c r="G40" i="12"/>
  <c r="G41" i="12"/>
  <c r="G42" i="12"/>
  <c r="G43" i="12"/>
  <c r="G1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1" i="12"/>
  <c r="A5" i="12"/>
  <c r="A6" i="12"/>
  <c r="A7" i="12"/>
  <c r="A8" i="12"/>
  <c r="A9" i="12"/>
  <c r="A10" i="12"/>
  <c r="A11" i="12"/>
  <c r="A12" i="12"/>
  <c r="A13" i="12"/>
  <c r="G13" i="12" s="1"/>
  <c r="A14" i="12"/>
  <c r="G14" i="12" s="1"/>
  <c r="A15" i="12"/>
  <c r="G15" i="12" s="1"/>
  <c r="A16" i="12"/>
  <c r="G16" i="12" s="1"/>
  <c r="A17" i="12"/>
  <c r="G17" i="12" s="1"/>
  <c r="A18" i="12"/>
  <c r="G18" i="12" s="1"/>
  <c r="A19" i="12"/>
  <c r="G19" i="12" s="1"/>
  <c r="A20" i="12"/>
  <c r="G20" i="12" s="1"/>
  <c r="A21" i="12"/>
  <c r="G21" i="12" s="1"/>
  <c r="A22" i="12"/>
  <c r="G22" i="12" s="1"/>
  <c r="A23" i="12"/>
  <c r="G23" i="12" s="1"/>
  <c r="A24" i="12"/>
  <c r="A25" i="12"/>
  <c r="A26" i="12"/>
  <c r="A27" i="12"/>
  <c r="G27" i="12" s="1"/>
  <c r="A28" i="12"/>
  <c r="G28" i="12" s="1"/>
  <c r="A29" i="12"/>
  <c r="G29" i="12" s="1"/>
  <c r="A30" i="12"/>
  <c r="G30" i="12" s="1"/>
  <c r="A31" i="12"/>
  <c r="G31" i="12" s="1"/>
  <c r="A32" i="12"/>
  <c r="A33" i="12"/>
  <c r="A34" i="12"/>
  <c r="A35" i="12"/>
  <c r="G35" i="12" s="1"/>
  <c r="A36" i="12"/>
  <c r="G36" i="12" s="1"/>
  <c r="A37" i="12"/>
  <c r="G37" i="12" s="1"/>
  <c r="A38" i="12"/>
  <c r="G38" i="12" s="1"/>
  <c r="A39" i="12"/>
  <c r="G39" i="12" s="1"/>
  <c r="A40" i="12"/>
  <c r="A41" i="12"/>
  <c r="A42" i="12"/>
  <c r="A43" i="12"/>
  <c r="A1" i="12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" i="6"/>
</calcChain>
</file>

<file path=xl/sharedStrings.xml><?xml version="1.0" encoding="utf-8"?>
<sst xmlns="http://schemas.openxmlformats.org/spreadsheetml/2006/main" count="4485" uniqueCount="1077">
  <si>
    <t>cyp</t>
  </si>
  <si>
    <t>dnk</t>
  </si>
  <si>
    <t>est</t>
  </si>
  <si>
    <t>fin</t>
  </si>
  <si>
    <t>hun</t>
  </si>
  <si>
    <t>irl</t>
  </si>
  <si>
    <t>lva</t>
  </si>
  <si>
    <t>ltu</t>
  </si>
  <si>
    <t>lux</t>
  </si>
  <si>
    <t>mlt</t>
  </si>
  <si>
    <t>svk</t>
  </si>
  <si>
    <t>svn</t>
  </si>
  <si>
    <t>bgr</t>
  </si>
  <si>
    <t>hrv</t>
  </si>
  <si>
    <t>rou</t>
  </si>
  <si>
    <t>FSU</t>
  </si>
  <si>
    <t>SSA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</si>
  <si>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</si>
  <si>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</si>
  <si>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</si>
  <si>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</si>
  <si>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</si>
  <si>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</si>
  <si>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</si>
  <si>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</si>
  <si>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</si>
  <si>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</si>
  <si>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</si>
  <si>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</si>
  <si>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</si>
  <si>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</si>
  <si>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</si>
  <si>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</si>
  <si>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</si>
  <si>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</si>
  <si>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</si>
  <si>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</si>
  <si>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</si>
  <si>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</si>
  <si>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</si>
  <si>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</si>
  <si>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</si>
  <si>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</si>
  <si>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</si>
  <si>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</si>
  <si>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</si>
  <si>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</si>
  <si>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</si>
  <si>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nmm</t>
  </si>
  <si>
    <t>i_s</t>
  </si>
  <si>
    <t>nfm</t>
  </si>
  <si>
    <t>fmp</t>
  </si>
  <si>
    <t>mvh</t>
  </si>
  <si>
    <t>otn</t>
  </si>
  <si>
    <t>ele</t>
  </si>
  <si>
    <t>ome</t>
  </si>
  <si>
    <t>omf</t>
  </si>
  <si>
    <t>TnD</t>
  </si>
  <si>
    <t>gdt</t>
  </si>
  <si>
    <t>wtr</t>
  </si>
  <si>
    <t>cns</t>
  </si>
  <si>
    <t>trd</t>
  </si>
  <si>
    <t>otp</t>
  </si>
  <si>
    <t>wtp</t>
  </si>
  <si>
    <t>atp</t>
  </si>
  <si>
    <t>cmn</t>
  </si>
  <si>
    <t>ofi</t>
  </si>
  <si>
    <t>obs</t>
  </si>
  <si>
    <t>ros</t>
  </si>
  <si>
    <t>osg</t>
  </si>
  <si>
    <t>dwe</t>
  </si>
  <si>
    <t>Oth_Crops</t>
  </si>
  <si>
    <t>Livestock</t>
  </si>
  <si>
    <t>Timber</t>
  </si>
  <si>
    <t>Fishery</t>
  </si>
  <si>
    <t>Coal</t>
  </si>
  <si>
    <t>Oil</t>
  </si>
  <si>
    <t>Heavy_ind</t>
  </si>
  <si>
    <t>Oil_Pcts</t>
  </si>
  <si>
    <t>Construction</t>
  </si>
  <si>
    <t>ACCREU_mapping</t>
  </si>
  <si>
    <t>Number</t>
  </si>
  <si>
    <t>Code</t>
  </si>
  <si>
    <t>Description (Detailed Sector Breakdown)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</si>
  <si>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</si>
  <si>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</si>
  <si>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</si>
  <si>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</si>
  <si>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</si>
  <si>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</si>
  <si>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</si>
  <si>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</si>
  <si>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</si>
  <si>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</si>
  <si>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</si>
  <si>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</si>
  <si>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Forestry</t>
  </si>
  <si>
    <t>Fishing</t>
  </si>
  <si>
    <t>Gas</t>
  </si>
  <si>
    <t>oxt</t>
  </si>
  <si>
    <t>Other Extraction (formerly omn Minerals nec)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</si>
  <si>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</si>
  <si>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</si>
  <si>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</si>
  <si>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</si>
  <si>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</si>
  <si>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</si>
  <si>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</si>
  <si>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</si>
  <si>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Textiles</t>
  </si>
  <si>
    <t>Wearing apparel</t>
  </si>
  <si>
    <t>Leather products</t>
  </si>
  <si>
    <t>Wood products</t>
  </si>
  <si>
    <t>Paper products, publishing</t>
  </si>
  <si>
    <t>Petroleum, coal products</t>
  </si>
  <si>
    <t>chm</t>
  </si>
  <si>
    <t>Chemical products</t>
  </si>
  <si>
    <t>bph</t>
  </si>
  <si>
    <t>Basic pharmaceutical products</t>
  </si>
  <si>
    <t>rpp</t>
  </si>
  <si>
    <t>Rubber and plastic products</t>
  </si>
  <si>
    <t>Mineral products nec</t>
  </si>
  <si>
    <t>Ferrous metals</t>
  </si>
  <si>
    <t>Metals nec</t>
  </si>
  <si>
    <t>Metal products</t>
  </si>
  <si>
    <t>Computer, electronic and optical products</t>
  </si>
  <si>
    <t>eeq</t>
  </si>
  <si>
    <t>Electrical equipment</t>
  </si>
  <si>
    <t>Machinery and equipment nec</t>
  </si>
  <si>
    <t>Motor vehicles and parts</t>
  </si>
  <si>
    <t>Transport equipment nec</t>
  </si>
  <si>
    <t>Manufactures nec</t>
  </si>
  <si>
    <t>Gas manufacture, distribution</t>
  </si>
  <si>
    <t>Water</t>
  </si>
  <si>
    <t>Trade</t>
  </si>
  <si>
    <t>afs</t>
  </si>
  <si>
    <t>Accommodation, Food and service activities</t>
  </si>
  <si>
    <t>Transport nec</t>
  </si>
  <si>
    <t>Water transport</t>
  </si>
  <si>
    <t>Air transport</t>
  </si>
  <si>
    <t>whs</t>
  </si>
  <si>
    <t>Warehousing and support activities</t>
  </si>
  <si>
    <t>Communication</t>
  </si>
  <si>
    <t>Financial services nec</t>
  </si>
  <si>
    <t>ins</t>
  </si>
  <si>
    <t>Insurance (formerly isr)</t>
  </si>
  <si>
    <t>rsa</t>
  </si>
  <si>
    <t>Real estate activities</t>
  </si>
  <si>
    <t>Business services nec</t>
  </si>
  <si>
    <t>Recreational and other services</t>
  </si>
  <si>
    <t>Public Administration and defense</t>
  </si>
  <si>
    <t>edu</t>
  </si>
  <si>
    <t>Education</t>
  </si>
  <si>
    <t>hht</t>
  </si>
  <si>
    <t>Human health and social work activities</t>
  </si>
  <si>
    <t>Dwellings</t>
  </si>
  <si>
    <t>Food_proc</t>
  </si>
  <si>
    <t>Light_Ind</t>
  </si>
  <si>
    <t>Health</t>
  </si>
  <si>
    <t>Pub_Serv</t>
  </si>
  <si>
    <t>Mkt_Serv</t>
  </si>
  <si>
    <t>NuclearBL</t>
  </si>
  <si>
    <t>CoalBL</t>
  </si>
  <si>
    <t>GasBL</t>
  </si>
  <si>
    <t>WindBL</t>
  </si>
  <si>
    <t>HydroBL</t>
  </si>
  <si>
    <t>OilBL</t>
  </si>
  <si>
    <t>OtherBL</t>
  </si>
  <si>
    <t>GasP</t>
  </si>
  <si>
    <t>HydroP</t>
  </si>
  <si>
    <t>OilP</t>
  </si>
  <si>
    <t>SolarP</t>
  </si>
  <si>
    <t>GTAP11_C_POWER</t>
  </si>
  <si>
    <t>Fossil_Ely</t>
  </si>
  <si>
    <t>Wind_Ely</t>
  </si>
  <si>
    <t>aut</t>
  </si>
  <si>
    <t>bel</t>
  </si>
  <si>
    <t>cze</t>
  </si>
  <si>
    <t>fra</t>
  </si>
  <si>
    <t>deu</t>
  </si>
  <si>
    <t>grc</t>
  </si>
  <si>
    <t>ita</t>
  </si>
  <si>
    <t>nld</t>
  </si>
  <si>
    <t>pol</t>
  </si>
  <si>
    <t>prt</t>
  </si>
  <si>
    <t>esp</t>
  </si>
  <si>
    <t>swe</t>
  </si>
  <si>
    <t>gbr</t>
  </si>
  <si>
    <t>Nuclear_Ely</t>
  </si>
  <si>
    <t>Solar_Ely</t>
  </si>
  <si>
    <t>Hydro_Ely</t>
  </si>
  <si>
    <t>REurope</t>
  </si>
  <si>
    <t>Japan</t>
  </si>
  <si>
    <t>India</t>
  </si>
  <si>
    <t>United States of America</t>
  </si>
  <si>
    <t>South Africa</t>
  </si>
  <si>
    <t>MENA</t>
  </si>
  <si>
    <t>Cereals</t>
  </si>
  <si>
    <t>Insurance</t>
  </si>
  <si>
    <t>Australia, New Zealand, and Oceania islands</t>
  </si>
  <si>
    <t>Indonesia</t>
  </si>
  <si>
    <t>United States</t>
  </si>
  <si>
    <t>Mexico</t>
  </si>
  <si>
    <t>Brazil</t>
  </si>
  <si>
    <t>China</t>
  </si>
  <si>
    <t>Canada</t>
  </si>
  <si>
    <t>Sub-Saharan Africa</t>
  </si>
  <si>
    <t>Middle East and North Africa</t>
  </si>
  <si>
    <t>Trn</t>
  </si>
  <si>
    <t>Ren_Ely</t>
  </si>
  <si>
    <t>ICES_MH</t>
  </si>
  <si>
    <t>ISO</t>
  </si>
  <si>
    <t>GTAP11_number</t>
  </si>
  <si>
    <t>GTAP11_code</t>
  </si>
  <si>
    <t>GTAP11_agg</t>
  </si>
  <si>
    <t>GTAP11_country</t>
  </si>
  <si>
    <t>ICES_ACCREU</t>
  </si>
  <si>
    <t>ICES_ACCREU_long</t>
  </si>
  <si>
    <t>AUS</t>
  </si>
  <si>
    <t>Australia</t>
  </si>
  <si>
    <t>AUNZ</t>
  </si>
  <si>
    <t>CCK</t>
  </si>
  <si>
    <t>Cocos (Keeling) Islands</t>
  </si>
  <si>
    <t>CXR</t>
  </si>
  <si>
    <t>Christmas Island</t>
  </si>
  <si>
    <t>HMD</t>
  </si>
  <si>
    <t>Heard Island and McDonald Islands</t>
  </si>
  <si>
    <t>NFK</t>
  </si>
  <si>
    <t>Norfolk Island</t>
  </si>
  <si>
    <t>NZL</t>
  </si>
  <si>
    <t>New Zealand</t>
  </si>
  <si>
    <t>ASM</t>
  </si>
  <si>
    <t>XOC</t>
  </si>
  <si>
    <t>Rest of Oceania</t>
  </si>
  <si>
    <t>American Samoa</t>
  </si>
  <si>
    <t>COK</t>
  </si>
  <si>
    <t>Cook Islands</t>
  </si>
  <si>
    <t>FJI</t>
  </si>
  <si>
    <t>Fiji</t>
  </si>
  <si>
    <t>FSM</t>
  </si>
  <si>
    <t>Micronesia (Federated States of)</t>
  </si>
  <si>
    <t>GUM</t>
  </si>
  <si>
    <t>Guam</t>
  </si>
  <si>
    <t>KIR</t>
  </si>
  <si>
    <t>Kiribati</t>
  </si>
  <si>
    <t>MHL</t>
  </si>
  <si>
    <t>Marshall Islands</t>
  </si>
  <si>
    <t>MNP</t>
  </si>
  <si>
    <t>Northern Mariana Islands</t>
  </si>
  <si>
    <t>NCL</t>
  </si>
  <si>
    <t>New Caledonia</t>
  </si>
  <si>
    <t>NIU</t>
  </si>
  <si>
    <t>Niue</t>
  </si>
  <si>
    <t>NRU</t>
  </si>
  <si>
    <t>Nauru</t>
  </si>
  <si>
    <t>PCN</t>
  </si>
  <si>
    <t>Pitcairn</t>
  </si>
  <si>
    <t>PLW</t>
  </si>
  <si>
    <t>Palau</t>
  </si>
  <si>
    <t>PNG</t>
  </si>
  <si>
    <t>Papua New Guinea</t>
  </si>
  <si>
    <t>PYF</t>
  </si>
  <si>
    <t>French Polynesia</t>
  </si>
  <si>
    <t>SLB</t>
  </si>
  <si>
    <t>Solomon Islands</t>
  </si>
  <si>
    <t>TKL</t>
  </si>
  <si>
    <t>Tokelau</t>
  </si>
  <si>
    <t>TON</t>
  </si>
  <si>
    <t>Tonga</t>
  </si>
  <si>
    <t>TUV</t>
  </si>
  <si>
    <t>Tuvalu</t>
  </si>
  <si>
    <t>UMI</t>
  </si>
  <si>
    <t>United States Minor Outlying Islands</t>
  </si>
  <si>
    <t>VUT</t>
  </si>
  <si>
    <t>Vanuatu</t>
  </si>
  <si>
    <t>WLF</t>
  </si>
  <si>
    <t>Wallis and Futuna Islands</t>
  </si>
  <si>
    <t>WSM</t>
  </si>
  <si>
    <t>Samoa</t>
  </si>
  <si>
    <t>CHN</t>
  </si>
  <si>
    <t>HKG</t>
  </si>
  <si>
    <t>Hong Kong, Special Administrative Region of China</t>
  </si>
  <si>
    <t>JPN</t>
  </si>
  <si>
    <t>JPNKOR</t>
  </si>
  <si>
    <t>Japan Korea</t>
  </si>
  <si>
    <t>KOR</t>
  </si>
  <si>
    <t>Korea, Republic of</t>
  </si>
  <si>
    <t>MNG</t>
  </si>
  <si>
    <t>Mongolia</t>
  </si>
  <si>
    <t>REastAsia</t>
  </si>
  <si>
    <t>Rest of East Asia</t>
  </si>
  <si>
    <t>TWN</t>
  </si>
  <si>
    <t>Taiwan</t>
  </si>
  <si>
    <t>MAC</t>
  </si>
  <si>
    <t>XEA</t>
  </si>
  <si>
    <t>China, Macao Special Administrative Region</t>
  </si>
  <si>
    <t>PRK</t>
  </si>
  <si>
    <t>Democratic People's Republic of Korea</t>
  </si>
  <si>
    <t>BRN</t>
  </si>
  <si>
    <t>Brunei Darussalam</t>
  </si>
  <si>
    <t>KHM</t>
  </si>
  <si>
    <t>Cambodia</t>
  </si>
  <si>
    <t>IDN</t>
  </si>
  <si>
    <t>LAO</t>
  </si>
  <si>
    <t>Lao PDR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</si>
  <si>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</si>
  <si>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</si>
  <si>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</si>
  <si>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</si>
  <si>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</si>
  <si>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</si>
  <si>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</si>
  <si>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</si>
  <si>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</si>
  <si>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</si>
  <si>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MMR</t>
  </si>
  <si>
    <t>XSE</t>
  </si>
  <si>
    <t>Rest of Southeast Asia</t>
  </si>
  <si>
    <t>Myanmar</t>
  </si>
  <si>
    <t>TLS</t>
  </si>
  <si>
    <t>Timor-Leste</t>
  </si>
  <si>
    <t>AFG</t>
  </si>
  <si>
    <t>Afghanistan</t>
  </si>
  <si>
    <t>RSouthAsia</t>
  </si>
  <si>
    <t>Rest of South Asia</t>
  </si>
  <si>
    <t>BGD</t>
  </si>
  <si>
    <t>Bangladesh</t>
  </si>
  <si>
    <t>IND</t>
  </si>
  <si>
    <t>NPL</t>
  </si>
  <si>
    <t>Nepal</t>
  </si>
  <si>
    <t>PAK</t>
  </si>
  <si>
    <t>Pakistan</t>
  </si>
  <si>
    <t>LKA</t>
  </si>
  <si>
    <t>Sri Lanka</t>
  </si>
  <si>
    <t>BTN</t>
  </si>
  <si>
    <t>XSA</t>
  </si>
  <si>
    <t>Bhutan</t>
  </si>
  <si>
    <t>MDV</t>
  </si>
  <si>
    <t>Maldives</t>
  </si>
  <si>
    <t>CAN</t>
  </si>
  <si>
    <t>USA</t>
  </si>
  <si>
    <t>MEX</t>
  </si>
  <si>
    <t>LACA</t>
  </si>
  <si>
    <t>Latin America and the Caribbean</t>
  </si>
  <si>
    <t>BMU</t>
  </si>
  <si>
    <t>XNA</t>
  </si>
  <si>
    <t>Rest of North America</t>
  </si>
  <si>
    <t>Bermuda</t>
  </si>
  <si>
    <t>GRL</t>
  </si>
  <si>
    <t>Greenland</t>
  </si>
  <si>
    <t>SPM</t>
  </si>
  <si>
    <t>Saint Pierre and Miquelon</t>
  </si>
  <si>
    <t>ARG</t>
  </si>
  <si>
    <t>Argentina</t>
  </si>
  <si>
    <t>BOL</t>
  </si>
  <si>
    <t>Bolivia</t>
  </si>
  <si>
    <t>BRA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</si>
  <si>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</si>
  <si>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</si>
  <si>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</si>
  <si>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</si>
  <si>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</si>
  <si>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</si>
  <si>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</si>
  <si>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</si>
  <si>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</si>
  <si>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</si>
  <si>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</si>
  <si>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</si>
  <si>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</si>
  <si>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 (Bolivarian Republic of)</t>
  </si>
  <si>
    <t>FLK</t>
  </si>
  <si>
    <t>XSM</t>
  </si>
  <si>
    <t>Rest of South America</t>
  </si>
  <si>
    <t>Falkland Islands (Malvinas)</t>
  </si>
  <si>
    <t>GUF</t>
  </si>
  <si>
    <t>French Guiana</t>
  </si>
  <si>
    <t>GUY</t>
  </si>
  <si>
    <t>Guyana</t>
  </si>
  <si>
    <t>SGS</t>
  </si>
  <si>
    <t>South Georgia and the South Sandwich Islands</t>
  </si>
  <si>
    <t>SUR</t>
  </si>
  <si>
    <t>Suriname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</si>
  <si>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</si>
  <si>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</si>
  <si>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</si>
  <si>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</si>
  <si>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</si>
  <si>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</si>
  <si>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</si>
  <si>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</si>
  <si>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</si>
  <si>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</si>
  <si>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</si>
  <si>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</si>
  <si>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BLZ</t>
  </si>
  <si>
    <t>XCA</t>
  </si>
  <si>
    <t>Rest of Central America</t>
  </si>
  <si>
    <t>Belize</t>
  </si>
  <si>
    <t>DOM</t>
  </si>
  <si>
    <t>Dominican Republic</t>
  </si>
  <si>
    <t>HTI</t>
  </si>
  <si>
    <t>Haiti</t>
  </si>
  <si>
    <t>JAM</t>
  </si>
  <si>
    <t>Jamaica</t>
  </si>
  <si>
    <t>PRI</t>
  </si>
  <si>
    <t>Puerto Rico</t>
  </si>
  <si>
    <t>TTO</t>
  </si>
  <si>
    <t>Trinidad and Tobago</t>
  </si>
  <si>
    <t>ABW</t>
  </si>
  <si>
    <t>XCB</t>
  </si>
  <si>
    <t>Rest of Caribbean</t>
  </si>
  <si>
    <t>Aruba</t>
  </si>
  <si>
    <t>AIA</t>
  </si>
  <si>
    <t>Anguilla</t>
  </si>
  <si>
    <t>ANT</t>
  </si>
  <si>
    <t>Bonaire, Sint Eustatius and Saba</t>
  </si>
  <si>
    <t>ATG</t>
  </si>
  <si>
    <t>Antigua and Barbuda</t>
  </si>
  <si>
    <t>BHS</t>
  </si>
  <si>
    <t>Bahamas</t>
  </si>
  <si>
    <t>BLM</t>
  </si>
  <si>
    <t>Saint Barthélemy</t>
  </si>
  <si>
    <t>BRB</t>
  </si>
  <si>
    <t>Barbados</t>
  </si>
  <si>
    <t>CUB</t>
  </si>
  <si>
    <t>Cuba</t>
  </si>
  <si>
    <t>CUW</t>
  </si>
  <si>
    <t>Curaçao</t>
  </si>
  <si>
    <t>CYM</t>
  </si>
  <si>
    <t>Cayman Islands</t>
  </si>
  <si>
    <t>DMA</t>
  </si>
  <si>
    <t>Dominica</t>
  </si>
  <si>
    <t>GRD</t>
  </si>
  <si>
    <t>Grenada</t>
  </si>
  <si>
    <t>KNA</t>
  </si>
  <si>
    <t>Saint Kitts and Nevis</t>
  </si>
  <si>
    <t>LCA</t>
  </si>
  <si>
    <t>Saint Lucia</t>
  </si>
  <si>
    <t>MAF</t>
  </si>
  <si>
    <t>Saint Martin (French Part)</t>
  </si>
  <si>
    <t>MSR</t>
  </si>
  <si>
    <t>Montserrat</t>
  </si>
  <si>
    <t>SXM</t>
  </si>
  <si>
    <t>Sint Maarten (Dutch part)</t>
  </si>
  <si>
    <t>TCA</t>
  </si>
  <si>
    <t>Turks and Caicos Islands</t>
  </si>
  <si>
    <t>VCT</t>
  </si>
  <si>
    <t>Saint Vincent and the Grenadines</t>
  </si>
  <si>
    <t>VGB</t>
  </si>
  <si>
    <t>British Virgin Islands</t>
  </si>
  <si>
    <t>VIR</t>
  </si>
  <si>
    <t>United States Virgin Islands</t>
  </si>
  <si>
    <t>CHE</t>
  </si>
  <si>
    <t>Switzerland</t>
  </si>
  <si>
    <t>NOR</t>
  </si>
  <si>
    <t>Norway</t>
  </si>
  <si>
    <t>SJM</t>
  </si>
  <si>
    <t>Svalbard and Jan Mayen Islands</t>
  </si>
  <si>
    <t>ISL</t>
  </si>
  <si>
    <t>XEF</t>
  </si>
  <si>
    <t>Rest of European Free Trade Association</t>
  </si>
  <si>
    <t>Iceland</t>
  </si>
  <si>
    <t>LIE</t>
  </si>
  <si>
    <t>Liechtenstein</t>
  </si>
  <si>
    <t>ALB</t>
  </si>
  <si>
    <t>Albania</t>
  </si>
  <si>
    <t>SRB</t>
  </si>
  <si>
    <t>Serbia</t>
  </si>
  <si>
    <t>BLR</t>
  </si>
  <si>
    <t>Belarus</t>
  </si>
  <si>
    <t>Former Soviet Union</t>
  </si>
  <si>
    <t>RUS</t>
  </si>
  <si>
    <t>Russian Federation</t>
  </si>
  <si>
    <t>UKR</t>
  </si>
  <si>
    <t>Ukraine</t>
  </si>
  <si>
    <t>MDA</t>
  </si>
  <si>
    <t>XEE</t>
  </si>
  <si>
    <t>Rest of Eastern Europe</t>
  </si>
  <si>
    <t>Republic of Moldova</t>
  </si>
  <si>
    <t>AND</t>
  </si>
  <si>
    <t>XER</t>
  </si>
  <si>
    <t>Rest of Europe</t>
  </si>
  <si>
    <t>Andorra</t>
  </si>
  <si>
    <t>BIH</t>
  </si>
  <si>
    <t>Bosnia and Herzegovina</t>
  </si>
  <si>
    <t>CRQ</t>
  </si>
  <si>
    <t>Sark</t>
  </si>
  <si>
    <t>FRO</t>
  </si>
  <si>
    <t>Faroe Islands</t>
  </si>
  <si>
    <t>GGY</t>
  </si>
  <si>
    <t>Guernsey</t>
  </si>
  <si>
    <t>GIB</t>
  </si>
  <si>
    <t>Gibraltar</t>
  </si>
  <si>
    <t>IMN</t>
  </si>
  <si>
    <t>Isle of Man</t>
  </si>
  <si>
    <t>JEY</t>
  </si>
  <si>
    <t>Jersey</t>
  </si>
  <si>
    <t>MCO</t>
  </si>
  <si>
    <t>Monaco</t>
  </si>
  <si>
    <t>MKD</t>
  </si>
  <si>
    <t>North Macedonia</t>
  </si>
  <si>
    <t>MNE</t>
  </si>
  <si>
    <t>Montenegro</t>
  </si>
  <si>
    <t>SMR</t>
  </si>
  <si>
    <t>San Marino</t>
  </si>
  <si>
    <t>VAT</t>
  </si>
  <si>
    <t>Holy See</t>
  </si>
  <si>
    <t>XKX</t>
  </si>
  <si>
    <t>Kosovo</t>
  </si>
  <si>
    <t>KAZ</t>
  </si>
  <si>
    <t>Kazakhstan</t>
  </si>
  <si>
    <t>KGZ</t>
  </si>
  <si>
    <t>Kyrgyzstan</t>
  </si>
  <si>
    <t>TJK</t>
  </si>
  <si>
    <t>Tajikistan</t>
  </si>
  <si>
    <t>UZB</t>
  </si>
  <si>
    <t>Uzbekistan</t>
  </si>
  <si>
    <t>TKM</t>
  </si>
  <si>
    <t>XSU</t>
  </si>
  <si>
    <t>Rest of Former Soviet Union</t>
  </si>
  <si>
    <t>Turkmenistan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</si>
  <si>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</si>
  <si>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</si>
  <si>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</si>
  <si>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</si>
  <si>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</si>
  <si>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</si>
  <si>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</si>
  <si>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</si>
  <si>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</si>
  <si>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Iran, Islamic Republic of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</si>
  <si>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</si>
  <si>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</si>
  <si>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</si>
  <si>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</si>
  <si>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</si>
  <si>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</si>
  <si>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</si>
  <si>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</si>
  <si>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</si>
  <si>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</si>
  <si>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</si>
  <si>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</si>
  <si>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PSE</t>
  </si>
  <si>
    <t>Palestineian Territory, Occupied</t>
  </si>
  <si>
    <t>QAT</t>
  </si>
  <si>
    <t>Qatar</t>
  </si>
  <si>
    <t>SAU</t>
  </si>
  <si>
    <t>Saudi Arabia</t>
  </si>
  <si>
    <t>SYR</t>
  </si>
  <si>
    <t>Syrian Arab Republic</t>
  </si>
  <si>
    <t>TUR</t>
  </si>
  <si>
    <t>Turkey</t>
  </si>
  <si>
    <t>ARE</t>
  </si>
  <si>
    <t>United Arab Emirates</t>
  </si>
  <si>
    <t>YEM</t>
  </si>
  <si>
    <t>XWS</t>
  </si>
  <si>
    <t>Rest of Western Asia</t>
  </si>
  <si>
    <t>Yemen</t>
  </si>
  <si>
    <t>DZA</t>
  </si>
  <si>
    <t>Algeria</t>
  </si>
  <si>
    <t>EGY</t>
  </si>
  <si>
    <t>Egypt</t>
  </si>
  <si>
    <t>MAR</t>
  </si>
  <si>
    <t>Morocco</t>
  </si>
  <si>
    <t>TUN</t>
  </si>
  <si>
    <t>Tunisia</t>
  </si>
  <si>
    <t>ESH</t>
  </si>
  <si>
    <t>XNF</t>
  </si>
  <si>
    <t>Rest of North Africa</t>
  </si>
  <si>
    <t>Western Sahara</t>
  </si>
  <si>
    <t>LBY</t>
  </si>
  <si>
    <t>Libya</t>
  </si>
  <si>
    <t>BEN</t>
  </si>
  <si>
    <t>Benin</t>
  </si>
  <si>
    <t>BFA</t>
  </si>
  <si>
    <t>Burkina Faso</t>
  </si>
  <si>
    <t>CMR</t>
  </si>
  <si>
    <t>Cameroon</t>
  </si>
  <si>
    <t>CIV</t>
  </si>
  <si>
    <t>Côte d'Ivoire</t>
  </si>
  <si>
    <t>GHA</t>
  </si>
  <si>
    <t>Ghana</t>
  </si>
  <si>
    <t>GIN</t>
  </si>
  <si>
    <t>Guinea</t>
  </si>
  <si>
    <t>MLI</t>
  </si>
  <si>
    <t>Mali</t>
  </si>
  <si>
    <t>NER</t>
  </si>
  <si>
    <t>Niger</t>
  </si>
  <si>
    <t>NGA</t>
  </si>
  <si>
    <t>Nigeria</t>
  </si>
  <si>
    <t>SEN</t>
  </si>
  <si>
    <t>Senegal</t>
  </si>
  <si>
    <t>TGO</t>
  </si>
  <si>
    <t>Togo</t>
  </si>
  <si>
    <t>CPV</t>
  </si>
  <si>
    <t>XWF</t>
  </si>
  <si>
    <t>Rest of Western Africa</t>
  </si>
  <si>
    <t>Cabo Verde</t>
  </si>
  <si>
    <t>GMB</t>
  </si>
  <si>
    <t>Gambia</t>
  </si>
  <si>
    <t>GNB</t>
  </si>
  <si>
    <t>Guinea-Bissau</t>
  </si>
  <si>
    <t>LBR</t>
  </si>
  <si>
    <t>Liberia</t>
  </si>
  <si>
    <t>MRT</t>
  </si>
  <si>
    <t>Mauritania</t>
  </si>
  <si>
    <t>SHN</t>
  </si>
  <si>
    <t>Saint Helena</t>
  </si>
  <si>
    <t>SLE</t>
  </si>
  <si>
    <t>Sierra Leone</t>
  </si>
  <si>
    <t>CAF</t>
  </si>
  <si>
    <t>Central African Republic</t>
  </si>
  <si>
    <t>TCD</t>
  </si>
  <si>
    <t>Chad</t>
  </si>
  <si>
    <t>COG</t>
  </si>
  <si>
    <t>Congo</t>
  </si>
  <si>
    <t>COD</t>
  </si>
  <si>
    <t>Democratic Republic of the Congo</t>
  </si>
  <si>
    <t>GNQ</t>
  </si>
  <si>
    <t>Equatorial Guinea</t>
  </si>
  <si>
    <t>GAB</t>
  </si>
  <si>
    <t>Gabon</t>
  </si>
  <si>
    <t>AGO</t>
  </si>
  <si>
    <t>XAC</t>
  </si>
  <si>
    <t>Rest of South and Central Africa</t>
  </si>
  <si>
    <t>Angola</t>
  </si>
  <si>
    <t>STP</t>
  </si>
  <si>
    <t>Sao Tome and Principe</t>
  </si>
  <si>
    <t>COM</t>
  </si>
  <si>
    <t>Comoros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</si>
  <si>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</si>
  <si>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</si>
  <si>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</si>
  <si>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</si>
  <si>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</si>
  <si>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</si>
  <si>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</si>
  <si>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</si>
  <si>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</si>
  <si>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</si>
  <si>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</si>
  <si>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</si>
  <si>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RWA</t>
  </si>
  <si>
    <t>Rwanda</t>
  </si>
  <si>
    <t>SDN</t>
  </si>
  <si>
    <t>Sudan</t>
  </si>
  <si>
    <t>TZA</t>
  </si>
  <si>
    <t>Tanzania, United Republic of</t>
  </si>
  <si>
    <t>UGA</t>
  </si>
  <si>
    <t>Uganda</t>
  </si>
  <si>
    <t>ZMB</t>
  </si>
  <si>
    <t>Zambia</t>
  </si>
  <si>
    <t>ZWE</t>
  </si>
  <si>
    <t>Zimbabwe</t>
  </si>
  <si>
    <t>BDI</t>
  </si>
  <si>
    <t>XEC</t>
  </si>
  <si>
    <t>Rest of Eastern Africa</t>
  </si>
  <si>
    <t>Burundi</t>
  </si>
  <si>
    <t>DJI</t>
  </si>
  <si>
    <t>Djibouti</t>
  </si>
  <si>
    <t>ERI</t>
  </si>
  <si>
    <t>Eritrea</t>
  </si>
  <si>
    <t>MYT</t>
  </si>
  <si>
    <t>Mayotte</t>
  </si>
  <si>
    <t>SOM</t>
  </si>
  <si>
    <t>Somalia</t>
  </si>
  <si>
    <t>SSD</t>
  </si>
  <si>
    <t>South Sudan</t>
  </si>
  <si>
    <t>SYC</t>
  </si>
  <si>
    <t>Seychelles</t>
  </si>
  <si>
    <t>BWA</t>
  </si>
  <si>
    <t>Botswana</t>
  </si>
  <si>
    <t>SWZ</t>
  </si>
  <si>
    <t>Eswatini</t>
  </si>
  <si>
    <t>NAM</t>
  </si>
  <si>
    <t>Namibia</t>
  </si>
  <si>
    <t>ZAF</t>
  </si>
  <si>
    <t>SAfrica</t>
  </si>
  <si>
    <t>LSO</t>
  </si>
  <si>
    <t>XSC</t>
  </si>
  <si>
    <t>Rest of South African Customs Union</t>
  </si>
  <si>
    <t>Lesotho</t>
  </si>
  <si>
    <t>ATA</t>
  </si>
  <si>
    <t>XTW</t>
  </si>
  <si>
    <t>Rest of the World</t>
  </si>
  <si>
    <t>Antarctica</t>
  </si>
  <si>
    <t>ATF</t>
  </si>
  <si>
    <t>French Southern Territories</t>
  </si>
  <si>
    <t>BVT</t>
  </si>
  <si>
    <t>Bouvet Island</t>
  </si>
  <si>
    <t>IOT</t>
  </si>
  <si>
    <t>British Indian Ocean Territory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</si>
  <si>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</si>
  <si>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</si>
  <si>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</si>
  <si>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</si>
  <si>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</si>
  <si>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</si>
  <si>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</si>
  <si>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</si>
  <si>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</si>
  <si>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</si>
  <si>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</si>
  <si>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</si>
  <si>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</si>
  <si>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</si>
  <si>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</si>
  <si>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</si>
  <si>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</si>
  <si>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</si>
  <si>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</si>
  <si>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</si>
  <si>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</si>
  <si>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</si>
  <si>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</si>
  <si>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</si>
  <si>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</si>
  <si>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</si>
  <si>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</si>
  <si>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</si>
  <si>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&amp;</t>
  </si>
  <si>
    <t>Bovine cattle, sheep and goats</t>
  </si>
  <si>
    <t>Minerals nec</t>
  </si>
  <si>
    <t>Computer, electronic and optic</t>
  </si>
  <si>
    <t>Electricity transmission and d</t>
  </si>
  <si>
    <t>Nuclear power</t>
  </si>
  <si>
    <t>Coal power baseload</t>
  </si>
  <si>
    <t>Gas power baseload</t>
  </si>
  <si>
    <t>Wind power</t>
  </si>
  <si>
    <t>Hydro power base load</t>
  </si>
  <si>
    <t>Oil power baseload</t>
  </si>
  <si>
    <t>Other baseload</t>
  </si>
  <si>
    <t>Gas power peakload</t>
  </si>
  <si>
    <t>Hydro power peakload</t>
  </si>
  <si>
    <t>Oil power peakload</t>
  </si>
  <si>
    <t>Solar power</t>
  </si>
  <si>
    <t>Accommodation, Food and servic</t>
  </si>
  <si>
    <t>Warehousing and support activi</t>
  </si>
  <si>
    <t>Recreational and other service</t>
  </si>
  <si>
    <t>Public Administration and defe</t>
  </si>
  <si>
    <t>Human health and social work a</t>
  </si>
  <si>
    <t xml:space="preserve"> &amp; </t>
  </si>
  <si>
    <t xml:space="preserve">             </t>
  </si>
  <si>
    <t>aus</t>
  </si>
  <si>
    <t>nzl</t>
  </si>
  <si>
    <t>xoc</t>
  </si>
  <si>
    <t>chn</t>
  </si>
  <si>
    <t>hkg</t>
  </si>
  <si>
    <t>China, Hong Kong SAR</t>
  </si>
  <si>
    <t>jpn</t>
  </si>
  <si>
    <t>kor</t>
  </si>
  <si>
    <t>Republic of Korea</t>
  </si>
  <si>
    <t>mng</t>
  </si>
  <si>
    <t>twn</t>
  </si>
  <si>
    <t>Taiwan Province of China</t>
  </si>
  <si>
    <t>xea</t>
  </si>
  <si>
    <t>brn</t>
  </si>
  <si>
    <t>khm</t>
  </si>
  <si>
    <t>idn</t>
  </si>
  <si>
    <t>lao</t>
  </si>
  <si>
    <t>Lao People's Democratic Republ</t>
  </si>
  <si>
    <t>mys</t>
  </si>
  <si>
    <t>phl</t>
  </si>
  <si>
    <t>sgp</t>
  </si>
  <si>
    <t>tha</t>
  </si>
  <si>
    <t>vnm</t>
  </si>
  <si>
    <t>xse</t>
  </si>
  <si>
    <t>afg</t>
  </si>
  <si>
    <t>bgd</t>
  </si>
  <si>
    <t>ind</t>
  </si>
  <si>
    <t>npl</t>
  </si>
  <si>
    <t>pak</t>
  </si>
  <si>
    <t>lka</t>
  </si>
  <si>
    <t>xsa</t>
  </si>
  <si>
    <t>can</t>
  </si>
  <si>
    <t>usa</t>
  </si>
  <si>
    <t>mex</t>
  </si>
  <si>
    <t>xna</t>
  </si>
  <si>
    <t>arg</t>
  </si>
  <si>
    <t>bol</t>
  </si>
  <si>
    <t>Bolivia (Plurinational State o</t>
  </si>
  <si>
    <t>bra</t>
  </si>
  <si>
    <t>chl</t>
  </si>
  <si>
    <t>col</t>
  </si>
  <si>
    <t>ecu</t>
  </si>
  <si>
    <t>pry</t>
  </si>
  <si>
    <t>per</t>
  </si>
  <si>
    <t>ury</t>
  </si>
  <si>
    <t>ven</t>
  </si>
  <si>
    <t>Venezuela (Bolivarian Republic</t>
  </si>
  <si>
    <t>xsm</t>
  </si>
  <si>
    <t>cri</t>
  </si>
  <si>
    <t>gtm</t>
  </si>
  <si>
    <t>hnd</t>
  </si>
  <si>
    <t>nic</t>
  </si>
  <si>
    <t>pan</t>
  </si>
  <si>
    <t>slv</t>
  </si>
  <si>
    <t>xca</t>
  </si>
  <si>
    <t>dom</t>
  </si>
  <si>
    <t>hti</t>
  </si>
  <si>
    <t>jam</t>
  </si>
  <si>
    <t>pri</t>
  </si>
  <si>
    <t>tto</t>
  </si>
  <si>
    <t>xcb</t>
  </si>
  <si>
    <t>Caribbean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</si>
  <si>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</si>
  <si>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</si>
  <si>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</si>
  <si>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</si>
  <si>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</si>
  <si>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</si>
  <si>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</si>
  <si>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</si>
  <si>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</si>
  <si>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</si>
  <si>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</si>
  <si>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</si>
  <si>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</si>
  <si>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</si>
  <si>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</si>
  <si>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</si>
  <si>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</si>
  <si>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</si>
  <si>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</si>
  <si>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</si>
  <si>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</si>
  <si>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</si>
  <si>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</si>
  <si>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</si>
  <si>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</si>
  <si>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</si>
  <si>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</si>
  <si>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 of Great Britai</t>
  </si>
  <si>
    <t>che</t>
  </si>
  <si>
    <t>nor</t>
  </si>
  <si>
    <t>xef</t>
  </si>
  <si>
    <t>Rest of EFTA</t>
  </si>
  <si>
    <t>alb</t>
  </si>
  <si>
    <t>srb</t>
  </si>
  <si>
    <t>blr</t>
  </si>
  <si>
    <t>rus</t>
  </si>
  <si>
    <t>ukr</t>
  </si>
  <si>
    <t>xee</t>
  </si>
  <si>
    <t>xer</t>
  </si>
  <si>
    <t>kaz</t>
  </si>
  <si>
    <t>kgz</t>
  </si>
  <si>
    <t>tjk</t>
  </si>
  <si>
    <t>uzb</t>
  </si>
  <si>
    <t>xsu</t>
  </si>
  <si>
    <t>arm</t>
  </si>
  <si>
    <t>aze</t>
  </si>
  <si>
    <t>geo</t>
  </si>
  <si>
    <t>bhr</t>
  </si>
  <si>
    <t>irn</t>
  </si>
  <si>
    <t>Iran (Islamic Republic of)</t>
  </si>
  <si>
    <t>irq</t>
  </si>
  <si>
    <t>isr</t>
  </si>
  <si>
    <t>jor</t>
  </si>
  <si>
    <t>kwt</t>
  </si>
  <si>
    <t>lbn</t>
  </si>
  <si>
    <t>omn</t>
  </si>
  <si>
    <t>pse</t>
  </si>
  <si>
    <t>Palestine</t>
  </si>
  <si>
    <t>qat</t>
  </si>
  <si>
    <t>sau</t>
  </si>
  <si>
    <t>syr</t>
  </si>
  <si>
    <t>tur</t>
  </si>
  <si>
    <t>T rkiye</t>
  </si>
  <si>
    <t>are</t>
  </si>
  <si>
    <t>xws</t>
  </si>
  <si>
    <t>dza</t>
  </si>
  <si>
    <t>egy</t>
  </si>
  <si>
    <t>mar</t>
  </si>
  <si>
    <t>tun</t>
  </si>
  <si>
    <t>xnf</t>
  </si>
  <si>
    <t>ben</t>
  </si>
  <si>
    <t>bfa</t>
  </si>
  <si>
    <t>cmr</t>
  </si>
  <si>
    <t>civ</t>
  </si>
  <si>
    <t>C te d'Ivoire</t>
  </si>
  <si>
    <t>gha</t>
  </si>
  <si>
    <t>gin</t>
  </si>
  <si>
    <t>mli</t>
  </si>
  <si>
    <t>ner</t>
  </si>
  <si>
    <t>nga</t>
  </si>
  <si>
    <t>sen</t>
  </si>
  <si>
    <t>tgo</t>
  </si>
  <si>
    <t>xwf</t>
  </si>
  <si>
    <t>caf</t>
  </si>
  <si>
    <t>tcd</t>
  </si>
  <si>
    <t>cog</t>
  </si>
  <si>
    <t>cod</t>
  </si>
  <si>
    <t>Democratic Republic of the Con</t>
  </si>
  <si>
    <t>gnq</t>
  </si>
  <si>
    <t>gab</t>
  </si>
  <si>
    <t>xac</t>
  </si>
  <si>
    <t>South-Central Africa</t>
  </si>
  <si>
    <t>com</t>
  </si>
  <si>
    <t>eth</t>
  </si>
  <si>
    <t>ken</t>
  </si>
  <si>
    <t>mdg</t>
  </si>
  <si>
    <t>mwi</t>
  </si>
  <si>
    <t>mus</t>
  </si>
  <si>
    <t>moz</t>
  </si>
  <si>
    <t>rwa</t>
  </si>
  <si>
    <t>sdn</t>
  </si>
  <si>
    <t>tza</t>
  </si>
  <si>
    <t>United Republic of Tanzania</t>
  </si>
  <si>
    <t>uga</t>
  </si>
  <si>
    <t>zmb</t>
  </si>
  <si>
    <t>zwe</t>
  </si>
  <si>
    <t>xec</t>
  </si>
  <si>
    <t>bwa</t>
  </si>
  <si>
    <t>swz</t>
  </si>
  <si>
    <t>nam</t>
  </si>
  <si>
    <t>zaf</t>
  </si>
  <si>
    <t>xsc</t>
  </si>
  <si>
    <t>Rest of Southern African Custo</t>
  </si>
  <si>
    <t>xtw</t>
  </si>
  <si>
    <t>Slovinia</t>
  </si>
  <si>
    <t>UK</t>
  </si>
  <si>
    <t>aus                                            &amp; Australia</t>
  </si>
  <si>
    <t>nzl                                            &amp; NewZealand</t>
  </si>
  <si>
    <t>xoc                                            &amp; RoW</t>
  </si>
  <si>
    <t>chn                                            &amp; China</t>
  </si>
  <si>
    <t>hkg                                            &amp; China</t>
  </si>
  <si>
    <t>jpn                                            &amp; Japan</t>
  </si>
  <si>
    <t>kor                                            &amp; SouthKorea</t>
  </si>
  <si>
    <t>mng                                            &amp; RoAsia</t>
  </si>
  <si>
    <t>twn                                            &amp; China</t>
  </si>
  <si>
    <t>xea                                            &amp; RoAsia</t>
  </si>
  <si>
    <t>khm                                            &amp; RoAsia</t>
  </si>
  <si>
    <t>idn                                            &amp; Indonesia</t>
  </si>
  <si>
    <t>lao                                            &amp; RoAsia</t>
  </si>
  <si>
    <t>mys                                            &amp; RoAsia</t>
  </si>
  <si>
    <t>phl                                            &amp; RoAsia</t>
  </si>
  <si>
    <t>sgp                                            &amp; RoAsia</t>
  </si>
  <si>
    <t>tha                                            &amp; RoAsia</t>
  </si>
  <si>
    <t>vnm                                            &amp; RoAsia</t>
  </si>
  <si>
    <t>xse                                            &amp; RoAsia</t>
  </si>
  <si>
    <t>bgd                                            &amp; Bangladesh</t>
  </si>
  <si>
    <t>ind                                            &amp; India</t>
  </si>
  <si>
    <t>npl                                            &amp; RoAsia</t>
  </si>
  <si>
    <t>pak                                            &amp; RoAsia</t>
  </si>
  <si>
    <t>lka                                            &amp; RoAsia</t>
  </si>
  <si>
    <t>xsa                                            &amp; RoAsia</t>
  </si>
  <si>
    <t>can                                            &amp; Canada</t>
  </si>
  <si>
    <t>usa                                            &amp; USA</t>
  </si>
  <si>
    <t>mex                                            &amp; Mexico</t>
  </si>
  <si>
    <t>xna                                            &amp; RoW</t>
  </si>
  <si>
    <t>arg                                            &amp; Argentina</t>
  </si>
  <si>
    <t>bol                                            &amp; Bolivia</t>
  </si>
  <si>
    <t>bra                                            &amp; Brazil</t>
  </si>
  <si>
    <t>chl                                            &amp; Chile</t>
  </si>
  <si>
    <t>col                                            &amp; RoLACA</t>
  </si>
  <si>
    <t>ecu                                            &amp; RoLACA</t>
  </si>
  <si>
    <t>pry                                            &amp; RoLACA</t>
  </si>
  <si>
    <t>per                                            &amp; Peru</t>
  </si>
  <si>
    <t>ury                                            &amp; RoLACA</t>
  </si>
  <si>
    <t>ven                                            &amp; Venezuela</t>
  </si>
  <si>
    <t>xsm                                            &amp; RoLACA</t>
  </si>
  <si>
    <t>cri                                            &amp; RoLACA</t>
  </si>
  <si>
    <t>gtm                                            &amp; RoLACA</t>
  </si>
  <si>
    <t>hnd                                            &amp; RoLACA</t>
  </si>
  <si>
    <t>nic                                            &amp; RoLACA</t>
  </si>
  <si>
    <t>pan                                            &amp; RoLACA</t>
  </si>
  <si>
    <t>slv                                            &amp; RoLACA</t>
  </si>
  <si>
    <t>xca                                            &amp; RoLACA</t>
  </si>
  <si>
    <t>xcb                                            &amp; RoLACA</t>
  </si>
  <si>
    <t>aut                                            &amp; RoEU</t>
  </si>
  <si>
    <t>bel                                            &amp; Benelux</t>
  </si>
  <si>
    <t>cyp                                            &amp; RoEU</t>
  </si>
  <si>
    <t>cze                                            &amp; Czech_Rep</t>
  </si>
  <si>
    <t>dnk                                            &amp; RoEU</t>
  </si>
  <si>
    <t>est                                            &amp; RoEU</t>
  </si>
  <si>
    <t>fin                                            &amp; Finland</t>
  </si>
  <si>
    <t>fra                                            &amp; France</t>
  </si>
  <si>
    <t>deu                                            &amp; Germany</t>
  </si>
  <si>
    <t>grc                                            &amp; Greece</t>
  </si>
  <si>
    <t>hun                                            &amp; RoEU</t>
  </si>
  <si>
    <t>irl                                            &amp; RoEU</t>
  </si>
  <si>
    <t>ita                                            &amp; Italy</t>
  </si>
  <si>
    <t>lva                                            &amp; RoEU</t>
  </si>
  <si>
    <t>ltu                                            &amp; RoEU</t>
  </si>
  <si>
    <t>lux                                            &amp; Benelux</t>
  </si>
  <si>
    <t>mlt                                            &amp; RoEU</t>
  </si>
  <si>
    <t>nld                                            &amp; Benelux</t>
  </si>
  <si>
    <t>pol                                            &amp; Poland</t>
  </si>
  <si>
    <t>prt                                            &amp; RoEU</t>
  </si>
  <si>
    <t>svk                                            &amp; RoEU</t>
  </si>
  <si>
    <t>svn                                            &amp; RoEU</t>
  </si>
  <si>
    <t>esp                                            &amp; Spain</t>
  </si>
  <si>
    <t>swe                                            &amp; Sweden</t>
  </si>
  <si>
    <t>gbr                                            &amp; UK</t>
  </si>
  <si>
    <t>che                                            &amp; RoEurope</t>
  </si>
  <si>
    <t>nor                                            &amp; RoEurope</t>
  </si>
  <si>
    <t>xef                                            &amp; RoEurope</t>
  </si>
  <si>
    <t>alb                                            &amp; RoEurope</t>
  </si>
  <si>
    <t>bgr                                            &amp; RoEU</t>
  </si>
  <si>
    <t>blr                                            &amp; RoEurope</t>
  </si>
  <si>
    <t>hrv                                            &amp; RoEU</t>
  </si>
  <si>
    <t>rou                                            &amp; RoEU</t>
  </si>
  <si>
    <t>rus                                            &amp; Russia</t>
  </si>
  <si>
    <t>ukr                                            &amp; RoEurope</t>
  </si>
  <si>
    <t>xee                                            &amp; RoEurope</t>
  </si>
  <si>
    <t>xer                                            &amp; RoEurope</t>
  </si>
  <si>
    <t>kaz                                            &amp; RoW</t>
  </si>
  <si>
    <t>kgz                                            &amp; RoW</t>
  </si>
  <si>
    <t>xsu                                            &amp; RoW</t>
  </si>
  <si>
    <t>arm                                            &amp; RoW</t>
  </si>
  <si>
    <t>aze                                            &amp; RoW</t>
  </si>
  <si>
    <t>geo                                            &amp; RoW</t>
  </si>
  <si>
    <t>bhr                                            &amp; RoMENA</t>
  </si>
  <si>
    <t>irn                                            &amp; RoMENA</t>
  </si>
  <si>
    <t>isr                                            &amp; RoMENA</t>
  </si>
  <si>
    <t>kwt                                            &amp; RoMENA</t>
  </si>
  <si>
    <t>omn                                            &amp; RoMENA</t>
  </si>
  <si>
    <t>qat                                            &amp; RoMENA</t>
  </si>
  <si>
    <t>sau                                            &amp; RoMENA</t>
  </si>
  <si>
    <t>tur                                            &amp; Turkey</t>
  </si>
  <si>
    <t>are                                            &amp; RoMENA</t>
  </si>
  <si>
    <t>xws                                            &amp; RoMENA</t>
  </si>
  <si>
    <t>egy                                            &amp; Egypt</t>
  </si>
  <si>
    <t>mar                                            &amp; RoMENA</t>
  </si>
  <si>
    <t>tun                                            &amp; RoMENA</t>
  </si>
  <si>
    <t>xnf                                            &amp; RoMENA</t>
  </si>
  <si>
    <t>cmr                                            &amp; RoAfrica</t>
  </si>
  <si>
    <t>civ                                            &amp; RoAfrica</t>
  </si>
  <si>
    <t>gha                                            &amp; Ghana</t>
  </si>
  <si>
    <t>nga                                            &amp; Nigeria</t>
  </si>
  <si>
    <t>sen                                            &amp; RoAfrica</t>
  </si>
  <si>
    <t>xwf                                            &amp; RoAfrica</t>
  </si>
  <si>
    <t>xcf                                            &amp; RoAfrica</t>
  </si>
  <si>
    <t>xac                                            &amp; RoAfrica</t>
  </si>
  <si>
    <t>eth                                            &amp; Ethiopia</t>
  </si>
  <si>
    <t>ken                                            &amp; Kenya</t>
  </si>
  <si>
    <t>mdg                                            &amp; RoAfrica</t>
  </si>
  <si>
    <t>mwi                                            &amp; RoAfrica</t>
  </si>
  <si>
    <t>mus                                            &amp; RoAfrica</t>
  </si>
  <si>
    <t>moz                                            &amp; Mozambique</t>
  </si>
  <si>
    <t>tza                                            &amp; RoAfrica</t>
  </si>
  <si>
    <t>uga                                            &amp; Uganda</t>
  </si>
  <si>
    <t>zmb                                            &amp; RoAfrica</t>
  </si>
  <si>
    <t>zwe                                            &amp; RoAfrica</t>
  </si>
  <si>
    <t>xec                                            &amp; RoAfrica</t>
  </si>
  <si>
    <t>bwa                                            &amp; RoAfrica</t>
  </si>
  <si>
    <t>nam                                            &amp; RoAfrica</t>
  </si>
  <si>
    <t>zaf                                            &amp; SouthAfrica</t>
  </si>
  <si>
    <t>xsc                                            &amp; RoAfrica</t>
  </si>
  <si>
    <t>xtw                                            &amp; RoW</t>
  </si>
  <si>
    <t>Land</t>
  </si>
  <si>
    <t>sluggish</t>
  </si>
  <si>
    <t>mobile</t>
  </si>
  <si>
    <t>Capital</t>
  </si>
  <si>
    <t>tech_aspros</t>
  </si>
  <si>
    <t>clerks</t>
  </si>
  <si>
    <t>service_shop</t>
  </si>
  <si>
    <t>off_mgr_pros</t>
  </si>
  <si>
    <t>ag_othlowsk</t>
  </si>
  <si>
    <t>NatlRes</t>
  </si>
  <si>
    <t>---</t>
  </si>
  <si>
    <t>Technicians/AssocProfessional</t>
  </si>
  <si>
    <t>Clerks</t>
  </si>
  <si>
    <t>Service/Shop workers</t>
  </si>
  <si>
    <t>Officials and Managers</t>
  </si>
  <si>
    <t>Agricultural and Unskilled</t>
  </si>
  <si>
    <t xml:space="preserve">     </t>
  </si>
  <si>
    <t xml:space="preserve">            &amp; </t>
  </si>
  <si>
    <t>Clean_Ely</t>
  </si>
  <si>
    <t>SkLab</t>
  </si>
  <si>
    <t>USkLab</t>
  </si>
  <si>
    <t xml:space="preserve">       &amp;      </t>
  </si>
  <si>
    <t>Oilseeds</t>
  </si>
  <si>
    <t>NatRes</t>
  </si>
  <si>
    <t>ICES_ACCREU_n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</si>
</sst>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8" fillId="0" borderId="0" xfId="42"/>
    <xf numFmtId="0" fontId="19" fillId="0" borderId="0" xfId="0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2219-DD3E-4630-A6FD-C9E9656F06CA}">
  <dimension ref="A1:H78"/>
  <sheetViews>
    <sheetView topLeftCell="A68" zoomScale="160" zoomScaleNormal="160" workbookViewId="0">
      <selection activeCell="B3" sqref="B3:D78"/>
    </sheetView>
  </sheetViews>
  <sheetFormatPr defaultRowHeight="15" x14ac:dyDescent="0.25"/>
  <cols>
    <col min="3" max="3" width="41.28515625" bestFit="1" customWidth="1"/>
    <col min="4" max="4" width="16.7109375" bestFit="1" customWidth="1"/>
  </cols>
  <sheetData>
    <row r="1" spans="1:8" x14ac:dyDescent="0.25">
      <c r="B1" t="s">
        <v>172</v>
      </c>
    </row>
    <row r="2" spans="1:8" x14ac:dyDescent="0.25">
      <c r="A2" t="s">
        <v>81</v>
      </c>
      <c r="B2" t="s">
        <v>82</v>
      </c>
      <c r="C2" t="s">
        <v>83</v>
      </c>
      <c r="D2" t="s">
        <v>80</v>
      </c>
    </row>
    <row r="3" spans="1:8" x14ac:dyDescent="0.25">
      <c r="A3">
        <v>1</v>
      </c>
      <c r="B3" t="s">
        <v>17</v>
      </c>
      <c r="C3" t="s">
        <v>84</v>
      </c>
      <c r="D3" t="s">
        <v>197</v>
      </c>
    </row>
    <row r="4" spans="1:8" x14ac:dyDescent="0.25">
      <c r="A4">
        <v>2</v>
      </c>
      <c r="B4" t="s">
        <v>18</v>
      </c>
      <c r="C4" t="s">
        <v>85</v>
      </c>
      <c r="D4" t="s">
        <v>197</v>
      </c>
    </row>
    <row r="5" spans="1:8" x14ac:dyDescent="0.25">
      <c r="A5">
        <v>3</v>
      </c>
      <c r="B5" t="s">
        <v>19</v>
      </c>
      <c r="C5" t="s">
        <v>86</v>
      </c>
      <c r="D5" t="s">
        <v>197</v>
      </c>
    </row>
    <row r="6" spans="1:8" x14ac:dyDescent="0.25">
      <c r="A6">
        <v>4</v>
      </c>
      <c r="B6" t="s">
        <v>20</v>
      </c>
      <c r="C6" t="s">
        <v>87</v>
      </c>
      <c r="D6" t="s">
        <v>71</v>
      </c>
    </row>
    <row r="7" spans="1:8" x14ac:dyDescent="0.25">
      <c r="A7">
        <v>5</v>
      </c>
      <c r="B7" t="s">
        <v>21</v>
      </c>
      <c r="C7" t="s">
        <v>88</v>
      </c>
      <c r="D7" t="s">
        <v>76</v>
      </c>
    </row>
    <row r="8" spans="1:8" x14ac:dyDescent="0.25">
      <c r="A8">
        <v>6</v>
      </c>
      <c r="B8" t="s">
        <v>22</v>
      </c>
      <c r="C8" t="s">
        <v>89</v>
      </c>
      <c r="D8" t="s">
        <v>106</v>
      </c>
    </row>
    <row r="9" spans="1:8" x14ac:dyDescent="0.25">
      <c r="A9">
        <v>7</v>
      </c>
      <c r="B9" t="s">
        <v>23</v>
      </c>
      <c r="C9" t="s">
        <v>90</v>
      </c>
      <c r="D9" t="s">
        <v>71</v>
      </c>
      <c r="H9" t="s">
        <v>210</v>
      </c>
    </row>
    <row r="10" spans="1:8" x14ac:dyDescent="0.25">
      <c r="A10">
        <v>8</v>
      </c>
      <c r="B10" t="s">
        <v>24</v>
      </c>
      <c r="C10" t="s">
        <v>91</v>
      </c>
      <c r="D10" t="s">
        <v>71</v>
      </c>
      <c r="G10">
        <v>1</v>
      </c>
      <c r="H10" t="s">
        <v>197</v>
      </c>
    </row>
    <row r="11" spans="1:8" x14ac:dyDescent="0.25">
      <c r="A11">
        <v>9</v>
      </c>
      <c r="B11" t="s">
        <v>25</v>
      </c>
      <c r="C11" t="s">
        <v>92</v>
      </c>
      <c r="D11" t="s">
        <v>72</v>
      </c>
      <c r="G11">
        <v>2</v>
      </c>
      <c r="H11" t="s">
        <v>76</v>
      </c>
    </row>
    <row r="12" spans="1:8" x14ac:dyDescent="0.25">
      <c r="A12">
        <v>10</v>
      </c>
      <c r="B12" t="s">
        <v>26</v>
      </c>
      <c r="C12" t="s">
        <v>93</v>
      </c>
      <c r="D12" t="s">
        <v>72</v>
      </c>
      <c r="G12">
        <v>3</v>
      </c>
      <c r="H12" t="s">
        <v>106</v>
      </c>
    </row>
    <row r="13" spans="1:8" x14ac:dyDescent="0.25">
      <c r="A13">
        <v>11</v>
      </c>
      <c r="B13" t="s">
        <v>27</v>
      </c>
      <c r="C13" t="s">
        <v>94</v>
      </c>
      <c r="D13" t="s">
        <v>72</v>
      </c>
      <c r="G13">
        <v>4</v>
      </c>
      <c r="H13" t="s">
        <v>71</v>
      </c>
    </row>
    <row r="14" spans="1:8" x14ac:dyDescent="0.25">
      <c r="A14">
        <v>12</v>
      </c>
      <c r="B14" t="s">
        <v>28</v>
      </c>
      <c r="C14" t="s">
        <v>95</v>
      </c>
      <c r="D14" t="s">
        <v>71</v>
      </c>
      <c r="G14">
        <v>5</v>
      </c>
      <c r="H14" t="s">
        <v>72</v>
      </c>
    </row>
    <row r="15" spans="1:8" x14ac:dyDescent="0.25">
      <c r="A15">
        <v>13</v>
      </c>
      <c r="B15" t="s">
        <v>29</v>
      </c>
      <c r="C15" t="s">
        <v>96</v>
      </c>
      <c r="D15" t="s">
        <v>73</v>
      </c>
      <c r="G15">
        <v>6</v>
      </c>
      <c r="H15" t="s">
        <v>73</v>
      </c>
    </row>
    <row r="16" spans="1:8" x14ac:dyDescent="0.25">
      <c r="A16">
        <v>14</v>
      </c>
      <c r="B16" t="s">
        <v>30</v>
      </c>
      <c r="C16" t="s">
        <v>97</v>
      </c>
      <c r="D16" t="s">
        <v>74</v>
      </c>
      <c r="G16">
        <v>7</v>
      </c>
      <c r="H16" t="s">
        <v>74</v>
      </c>
    </row>
    <row r="17" spans="1:8" x14ac:dyDescent="0.25">
      <c r="A17">
        <v>15</v>
      </c>
      <c r="B17" t="s">
        <v>31</v>
      </c>
      <c r="C17" t="s">
        <v>75</v>
      </c>
      <c r="D17" t="s">
        <v>75</v>
      </c>
      <c r="G17">
        <v>8</v>
      </c>
      <c r="H17" t="s">
        <v>75</v>
      </c>
    </row>
    <row r="18" spans="1:8" x14ac:dyDescent="0.25">
      <c r="A18">
        <v>16</v>
      </c>
      <c r="B18" t="s">
        <v>32</v>
      </c>
      <c r="C18" t="s">
        <v>76</v>
      </c>
      <c r="D18" t="s">
        <v>76</v>
      </c>
      <c r="G18">
        <v>9</v>
      </c>
      <c r="H18" t="s">
        <v>76</v>
      </c>
    </row>
    <row r="19" spans="1:8" x14ac:dyDescent="0.25">
      <c r="A19">
        <v>17</v>
      </c>
      <c r="B19" t="s">
        <v>33</v>
      </c>
      <c r="C19" t="s">
        <v>98</v>
      </c>
      <c r="D19" t="s">
        <v>98</v>
      </c>
      <c r="G19">
        <v>10</v>
      </c>
      <c r="H19" t="s">
        <v>98</v>
      </c>
    </row>
    <row r="20" spans="1:8" x14ac:dyDescent="0.25">
      <c r="A20">
        <v>18</v>
      </c>
      <c r="B20" t="s">
        <v>99</v>
      </c>
      <c r="C20" t="s">
        <v>100</v>
      </c>
      <c r="D20" t="s">
        <v>77</v>
      </c>
      <c r="G20">
        <v>11</v>
      </c>
      <c r="H20" t="s">
        <v>78</v>
      </c>
    </row>
    <row r="21" spans="1:8" x14ac:dyDescent="0.25">
      <c r="A21">
        <v>19</v>
      </c>
      <c r="B21" t="s">
        <v>34</v>
      </c>
      <c r="C21" t="s">
        <v>101</v>
      </c>
      <c r="D21" t="s">
        <v>156</v>
      </c>
      <c r="G21">
        <v>12</v>
      </c>
      <c r="H21" t="s">
        <v>156</v>
      </c>
    </row>
    <row r="22" spans="1:8" x14ac:dyDescent="0.25">
      <c r="A22">
        <v>20</v>
      </c>
      <c r="B22" t="s">
        <v>35</v>
      </c>
      <c r="C22" t="s">
        <v>102</v>
      </c>
      <c r="D22" t="s">
        <v>156</v>
      </c>
      <c r="G22">
        <v>13</v>
      </c>
      <c r="H22" t="s">
        <v>157</v>
      </c>
    </row>
    <row r="23" spans="1:8" x14ac:dyDescent="0.25">
      <c r="A23">
        <v>21</v>
      </c>
      <c r="B23" t="s">
        <v>36</v>
      </c>
      <c r="C23" t="s">
        <v>103</v>
      </c>
      <c r="D23" t="s">
        <v>156</v>
      </c>
      <c r="G23">
        <v>14</v>
      </c>
      <c r="H23" t="s">
        <v>77</v>
      </c>
    </row>
    <row r="24" spans="1:8" x14ac:dyDescent="0.25">
      <c r="A24">
        <v>22</v>
      </c>
      <c r="B24" t="s">
        <v>37</v>
      </c>
      <c r="C24" t="s">
        <v>104</v>
      </c>
      <c r="D24" t="s">
        <v>156</v>
      </c>
      <c r="E24" s="2"/>
      <c r="G24">
        <v>15</v>
      </c>
      <c r="H24" t="s">
        <v>57</v>
      </c>
    </row>
    <row r="25" spans="1:8" x14ac:dyDescent="0.25">
      <c r="A25">
        <v>23</v>
      </c>
      <c r="B25" t="s">
        <v>38</v>
      </c>
      <c r="C25" t="s">
        <v>105</v>
      </c>
      <c r="D25" t="s">
        <v>156</v>
      </c>
      <c r="G25">
        <v>16</v>
      </c>
      <c r="H25" t="s">
        <v>209</v>
      </c>
    </row>
    <row r="26" spans="1:8" x14ac:dyDescent="0.25">
      <c r="A26">
        <v>24</v>
      </c>
      <c r="B26" t="s">
        <v>39</v>
      </c>
      <c r="C26" t="s">
        <v>106</v>
      </c>
      <c r="D26" t="s">
        <v>156</v>
      </c>
      <c r="G26">
        <v>17</v>
      </c>
      <c r="H26" t="s">
        <v>173</v>
      </c>
    </row>
    <row r="27" spans="1:8" x14ac:dyDescent="0.25">
      <c r="A27">
        <v>25</v>
      </c>
      <c r="B27" t="s">
        <v>40</v>
      </c>
      <c r="C27" t="s">
        <v>107</v>
      </c>
      <c r="D27" t="s">
        <v>156</v>
      </c>
      <c r="G27">
        <v>18</v>
      </c>
      <c r="H27" t="s">
        <v>79</v>
      </c>
    </row>
    <row r="28" spans="1:8" x14ac:dyDescent="0.25">
      <c r="A28">
        <v>26</v>
      </c>
      <c r="B28" t="s">
        <v>41</v>
      </c>
      <c r="C28" t="s">
        <v>108</v>
      </c>
      <c r="D28" t="s">
        <v>156</v>
      </c>
      <c r="G28">
        <v>19</v>
      </c>
      <c r="H28" t="s">
        <v>208</v>
      </c>
    </row>
    <row r="29" spans="1:8" x14ac:dyDescent="0.25">
      <c r="A29">
        <v>27</v>
      </c>
      <c r="B29" t="s">
        <v>42</v>
      </c>
      <c r="C29" t="s">
        <v>109</v>
      </c>
      <c r="D29" t="s">
        <v>157</v>
      </c>
      <c r="G29">
        <v>20</v>
      </c>
      <c r="H29" t="s">
        <v>198</v>
      </c>
    </row>
    <row r="30" spans="1:8" x14ac:dyDescent="0.25">
      <c r="A30">
        <v>28</v>
      </c>
      <c r="B30" t="s">
        <v>43</v>
      </c>
      <c r="C30" t="s">
        <v>110</v>
      </c>
      <c r="D30" t="s">
        <v>157</v>
      </c>
      <c r="G30">
        <v>21</v>
      </c>
      <c r="H30" t="s">
        <v>160</v>
      </c>
    </row>
    <row r="31" spans="1:8" x14ac:dyDescent="0.25">
      <c r="A31">
        <v>29</v>
      </c>
      <c r="B31" t="s">
        <v>44</v>
      </c>
      <c r="C31" t="s">
        <v>111</v>
      </c>
      <c r="D31" t="s">
        <v>157</v>
      </c>
      <c r="G31">
        <v>22</v>
      </c>
      <c r="H31" t="s">
        <v>159</v>
      </c>
    </row>
    <row r="32" spans="1:8" x14ac:dyDescent="0.25">
      <c r="A32">
        <v>30</v>
      </c>
      <c r="B32" t="s">
        <v>45</v>
      </c>
      <c r="C32" t="s">
        <v>112</v>
      </c>
      <c r="D32" t="s">
        <v>157</v>
      </c>
      <c r="G32">
        <v>23</v>
      </c>
      <c r="H32" t="s">
        <v>158</v>
      </c>
    </row>
    <row r="33" spans="1:8" x14ac:dyDescent="0.25">
      <c r="A33">
        <v>31</v>
      </c>
      <c r="B33" t="s">
        <v>46</v>
      </c>
      <c r="C33" t="s">
        <v>113</v>
      </c>
      <c r="D33" t="s">
        <v>157</v>
      </c>
      <c r="G33">
        <v>24</v>
      </c>
      <c r="H33" t="s">
        <v>155</v>
      </c>
    </row>
    <row r="34" spans="1:8" x14ac:dyDescent="0.25">
      <c r="A34">
        <v>32</v>
      </c>
      <c r="B34" t="s">
        <v>47</v>
      </c>
      <c r="C34" t="s">
        <v>114</v>
      </c>
      <c r="D34" t="s">
        <v>78</v>
      </c>
    </row>
    <row r="35" spans="1:8" x14ac:dyDescent="0.25">
      <c r="A35">
        <v>33</v>
      </c>
      <c r="B35" t="s">
        <v>115</v>
      </c>
      <c r="C35" t="s">
        <v>116</v>
      </c>
      <c r="D35" t="s">
        <v>77</v>
      </c>
    </row>
    <row r="36" spans="1:8" x14ac:dyDescent="0.25">
      <c r="A36">
        <v>34</v>
      </c>
      <c r="B36" t="s">
        <v>117</v>
      </c>
      <c r="C36" t="s">
        <v>118</v>
      </c>
      <c r="D36" t="s">
        <v>77</v>
      </c>
    </row>
    <row r="37" spans="1:8" x14ac:dyDescent="0.25">
      <c r="A37">
        <v>35</v>
      </c>
      <c r="B37" t="s">
        <v>119</v>
      </c>
      <c r="C37" t="s">
        <v>120</v>
      </c>
      <c r="D37" t="s">
        <v>77</v>
      </c>
    </row>
    <row r="38" spans="1:8" x14ac:dyDescent="0.25">
      <c r="A38">
        <v>36</v>
      </c>
      <c r="B38" t="s">
        <v>48</v>
      </c>
      <c r="C38" t="s">
        <v>121</v>
      </c>
      <c r="D38" t="s">
        <v>77</v>
      </c>
    </row>
    <row r="39" spans="1:8" x14ac:dyDescent="0.25">
      <c r="A39">
        <v>37</v>
      </c>
      <c r="B39" t="s">
        <v>49</v>
      </c>
      <c r="C39" t="s">
        <v>122</v>
      </c>
      <c r="D39" t="s">
        <v>77</v>
      </c>
    </row>
    <row r="40" spans="1:8" x14ac:dyDescent="0.25">
      <c r="A40">
        <v>38</v>
      </c>
      <c r="B40" t="s">
        <v>50</v>
      </c>
      <c r="C40" t="s">
        <v>123</v>
      </c>
      <c r="D40" t="s">
        <v>77</v>
      </c>
    </row>
    <row r="41" spans="1:8" x14ac:dyDescent="0.25">
      <c r="A41">
        <v>39</v>
      </c>
      <c r="B41" t="s">
        <v>51</v>
      </c>
      <c r="C41" t="s">
        <v>124</v>
      </c>
      <c r="D41" t="s">
        <v>77</v>
      </c>
    </row>
    <row r="42" spans="1:8" x14ac:dyDescent="0.25">
      <c r="A42">
        <v>40</v>
      </c>
      <c r="B42" t="s">
        <v>54</v>
      </c>
      <c r="C42" t="s">
        <v>125</v>
      </c>
      <c r="D42" t="s">
        <v>77</v>
      </c>
    </row>
    <row r="43" spans="1:8" x14ac:dyDescent="0.25">
      <c r="A43">
        <v>41</v>
      </c>
      <c r="B43" t="s">
        <v>126</v>
      </c>
      <c r="C43" t="s">
        <v>127</v>
      </c>
      <c r="D43" t="s">
        <v>77</v>
      </c>
    </row>
    <row r="44" spans="1:8" x14ac:dyDescent="0.25">
      <c r="A44">
        <v>42</v>
      </c>
      <c r="B44" t="s">
        <v>55</v>
      </c>
      <c r="C44" t="s">
        <v>128</v>
      </c>
      <c r="D44" t="s">
        <v>77</v>
      </c>
    </row>
    <row r="45" spans="1:8" x14ac:dyDescent="0.25">
      <c r="A45">
        <v>43</v>
      </c>
      <c r="B45" t="s">
        <v>52</v>
      </c>
      <c r="C45" t="s">
        <v>129</v>
      </c>
      <c r="D45" t="s">
        <v>77</v>
      </c>
    </row>
    <row r="46" spans="1:8" x14ac:dyDescent="0.25">
      <c r="A46">
        <v>44</v>
      </c>
      <c r="B46" t="s">
        <v>53</v>
      </c>
      <c r="C46" t="s">
        <v>130</v>
      </c>
      <c r="D46" t="s">
        <v>77</v>
      </c>
    </row>
    <row r="47" spans="1:8" x14ac:dyDescent="0.25">
      <c r="A47">
        <v>45</v>
      </c>
      <c r="B47" t="s">
        <v>56</v>
      </c>
      <c r="C47" t="s">
        <v>131</v>
      </c>
      <c r="D47" t="s">
        <v>77</v>
      </c>
    </row>
    <row r="48" spans="1:8" x14ac:dyDescent="0.25">
      <c r="A48">
        <v>46</v>
      </c>
      <c r="B48" t="s">
        <v>57</v>
      </c>
      <c r="D48" t="s">
        <v>57</v>
      </c>
    </row>
    <row r="49" spans="1:4" x14ac:dyDescent="0.25">
      <c r="A49">
        <v>47</v>
      </c>
      <c r="B49" t="s">
        <v>161</v>
      </c>
      <c r="D49" t="s">
        <v>188</v>
      </c>
    </row>
    <row r="50" spans="1:4" x14ac:dyDescent="0.25">
      <c r="A50">
        <v>48</v>
      </c>
      <c r="B50" t="s">
        <v>162</v>
      </c>
      <c r="D50" t="s">
        <v>173</v>
      </c>
    </row>
    <row r="51" spans="1:4" x14ac:dyDescent="0.25">
      <c r="A51">
        <v>49</v>
      </c>
      <c r="B51" t="s">
        <v>163</v>
      </c>
      <c r="D51" t="s">
        <v>173</v>
      </c>
    </row>
    <row r="52" spans="1:4" x14ac:dyDescent="0.25">
      <c r="A52">
        <v>50</v>
      </c>
      <c r="B52" t="s">
        <v>164</v>
      </c>
      <c r="D52" t="s">
        <v>174</v>
      </c>
    </row>
    <row r="53" spans="1:4" x14ac:dyDescent="0.25">
      <c r="A53">
        <v>51</v>
      </c>
      <c r="B53" t="s">
        <v>165</v>
      </c>
      <c r="D53" t="s">
        <v>190</v>
      </c>
    </row>
    <row r="54" spans="1:4" x14ac:dyDescent="0.25">
      <c r="A54">
        <v>52</v>
      </c>
      <c r="B54" t="s">
        <v>166</v>
      </c>
      <c r="D54" t="s">
        <v>173</v>
      </c>
    </row>
    <row r="55" spans="1:4" x14ac:dyDescent="0.25">
      <c r="A55">
        <v>53</v>
      </c>
      <c r="B55" t="s">
        <v>167</v>
      </c>
      <c r="D55" t="s">
        <v>98</v>
      </c>
    </row>
    <row r="56" spans="1:4" x14ac:dyDescent="0.25">
      <c r="A56">
        <v>54</v>
      </c>
      <c r="B56" t="s">
        <v>168</v>
      </c>
      <c r="D56" t="s">
        <v>173</v>
      </c>
    </row>
    <row r="57" spans="1:4" x14ac:dyDescent="0.25">
      <c r="A57">
        <v>55</v>
      </c>
      <c r="B57" t="s">
        <v>169</v>
      </c>
      <c r="D57" t="s">
        <v>174</v>
      </c>
    </row>
    <row r="58" spans="1:4" x14ac:dyDescent="0.25">
      <c r="A58">
        <v>56</v>
      </c>
      <c r="B58" t="s">
        <v>170</v>
      </c>
      <c r="D58" t="s">
        <v>173</v>
      </c>
    </row>
    <row r="59" spans="1:4" x14ac:dyDescent="0.25">
      <c r="A59">
        <v>57</v>
      </c>
      <c r="B59" t="s">
        <v>171</v>
      </c>
      <c r="D59" t="s">
        <v>189</v>
      </c>
    </row>
    <row r="60" spans="1:4" x14ac:dyDescent="0.25">
      <c r="A60">
        <v>58</v>
      </c>
      <c r="B60" t="s">
        <v>58</v>
      </c>
      <c r="C60" t="s">
        <v>132</v>
      </c>
      <c r="D60" t="s">
        <v>98</v>
      </c>
    </row>
    <row r="61" spans="1:4" x14ac:dyDescent="0.25">
      <c r="A61">
        <v>59</v>
      </c>
      <c r="B61" t="s">
        <v>59</v>
      </c>
      <c r="C61" t="s">
        <v>133</v>
      </c>
      <c r="D61" t="s">
        <v>160</v>
      </c>
    </row>
    <row r="62" spans="1:4" x14ac:dyDescent="0.25">
      <c r="A62">
        <v>60</v>
      </c>
      <c r="B62" t="s">
        <v>60</v>
      </c>
      <c r="C62" t="s">
        <v>79</v>
      </c>
      <c r="D62" t="s">
        <v>79</v>
      </c>
    </row>
    <row r="63" spans="1:4" x14ac:dyDescent="0.25">
      <c r="A63">
        <v>61</v>
      </c>
      <c r="B63" t="s">
        <v>61</v>
      </c>
      <c r="C63" t="s">
        <v>134</v>
      </c>
      <c r="D63" t="s">
        <v>160</v>
      </c>
    </row>
    <row r="64" spans="1:4" x14ac:dyDescent="0.25">
      <c r="A64">
        <v>62</v>
      </c>
      <c r="B64" t="s">
        <v>135</v>
      </c>
      <c r="C64" t="s">
        <v>136</v>
      </c>
      <c r="D64" t="s">
        <v>160</v>
      </c>
    </row>
    <row r="65" spans="1:4" x14ac:dyDescent="0.25">
      <c r="A65">
        <v>63</v>
      </c>
      <c r="B65" t="s">
        <v>62</v>
      </c>
      <c r="C65" t="s">
        <v>137</v>
      </c>
      <c r="D65" t="s">
        <v>208</v>
      </c>
    </row>
    <row r="66" spans="1:4" x14ac:dyDescent="0.25">
      <c r="A66">
        <v>64</v>
      </c>
      <c r="B66" t="s">
        <v>63</v>
      </c>
      <c r="C66" t="s">
        <v>138</v>
      </c>
      <c r="D66" t="s">
        <v>208</v>
      </c>
    </row>
    <row r="67" spans="1:4" x14ac:dyDescent="0.25">
      <c r="A67">
        <v>65</v>
      </c>
      <c r="B67" t="s">
        <v>64</v>
      </c>
      <c r="C67" t="s">
        <v>139</v>
      </c>
      <c r="D67" t="s">
        <v>208</v>
      </c>
    </row>
    <row r="68" spans="1:4" x14ac:dyDescent="0.25">
      <c r="A68">
        <v>66</v>
      </c>
      <c r="B68" t="s">
        <v>140</v>
      </c>
      <c r="C68" t="s">
        <v>141</v>
      </c>
      <c r="D68" t="s">
        <v>160</v>
      </c>
    </row>
    <row r="69" spans="1:4" x14ac:dyDescent="0.25">
      <c r="A69">
        <v>67</v>
      </c>
      <c r="B69" t="s">
        <v>65</v>
      </c>
      <c r="C69" t="s">
        <v>142</v>
      </c>
      <c r="D69" t="s">
        <v>160</v>
      </c>
    </row>
    <row r="70" spans="1:4" x14ac:dyDescent="0.25">
      <c r="A70">
        <v>68</v>
      </c>
      <c r="B70" t="s">
        <v>66</v>
      </c>
      <c r="C70" t="s">
        <v>143</v>
      </c>
      <c r="D70" t="s">
        <v>160</v>
      </c>
    </row>
    <row r="71" spans="1:4" x14ac:dyDescent="0.25">
      <c r="A71">
        <v>69</v>
      </c>
      <c r="B71" t="s">
        <v>144</v>
      </c>
      <c r="C71" t="s">
        <v>145</v>
      </c>
      <c r="D71" t="s">
        <v>198</v>
      </c>
    </row>
    <row r="72" spans="1:4" x14ac:dyDescent="0.25">
      <c r="A72">
        <v>70</v>
      </c>
      <c r="B72" t="s">
        <v>146</v>
      </c>
      <c r="C72" t="s">
        <v>147</v>
      </c>
      <c r="D72" t="s">
        <v>160</v>
      </c>
    </row>
    <row r="73" spans="1:4" x14ac:dyDescent="0.25">
      <c r="A73">
        <v>71</v>
      </c>
      <c r="B73" t="s">
        <v>67</v>
      </c>
      <c r="C73" t="s">
        <v>148</v>
      </c>
      <c r="D73" t="s">
        <v>160</v>
      </c>
    </row>
    <row r="74" spans="1:4" x14ac:dyDescent="0.25">
      <c r="A74">
        <v>72</v>
      </c>
      <c r="B74" t="s">
        <v>68</v>
      </c>
      <c r="C74" t="s">
        <v>149</v>
      </c>
      <c r="D74" t="s">
        <v>160</v>
      </c>
    </row>
    <row r="75" spans="1:4" x14ac:dyDescent="0.25">
      <c r="A75">
        <v>73</v>
      </c>
      <c r="B75" t="s">
        <v>69</v>
      </c>
      <c r="C75" t="s">
        <v>150</v>
      </c>
      <c r="D75" t="s">
        <v>159</v>
      </c>
    </row>
    <row r="76" spans="1:4" x14ac:dyDescent="0.25">
      <c r="A76">
        <v>74</v>
      </c>
      <c r="B76" t="s">
        <v>151</v>
      </c>
      <c r="C76" t="s">
        <v>152</v>
      </c>
      <c r="D76" t="s">
        <v>159</v>
      </c>
    </row>
    <row r="77" spans="1:4" x14ac:dyDescent="0.25">
      <c r="A77">
        <v>75</v>
      </c>
      <c r="B77" t="s">
        <v>153</v>
      </c>
      <c r="C77" t="s">
        <v>154</v>
      </c>
      <c r="D77" t="s">
        <v>158</v>
      </c>
    </row>
    <row r="78" spans="1:4" x14ac:dyDescent="0.25">
      <c r="A78">
        <v>76</v>
      </c>
      <c r="B78" t="s">
        <v>70</v>
      </c>
      <c r="C78" t="s">
        <v>155</v>
      </c>
      <c r="D7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A63A-55B6-4209-ADEC-6AB49CB7A4F5}">
  <dimension ref="A1:N248"/>
  <sheetViews>
    <sheetView tabSelected="1" topLeftCell="A34" workbookViewId="0">
      <selection activeCell="J33" sqref="J33"/>
    </sheetView>
  </sheetViews>
  <sheetFormatPr defaultRowHeight="15" x14ac:dyDescent="0.25"/>
  <cols>
    <col min="5" max="5" width="16.140625" customWidth="1"/>
    <col min="6" max="6" width="15.28515625" customWidth="1"/>
    <col min="7" max="7" width="39.5703125" customWidth="1"/>
  </cols>
  <sheetData>
    <row r="1" spans="1:8" x14ac:dyDescent="0.25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  <c r="F1" s="3" t="s">
        <v>216</v>
      </c>
      <c r="G1" s="3" t="s">
        <v>217</v>
      </c>
      <c r="H1" s="3" t="s">
        <v>1076</v>
      </c>
    </row>
    <row r="2" spans="1:8" x14ac:dyDescent="0.25">
      <c r="A2" t="s">
        <v>218</v>
      </c>
      <c r="B2">
        <v>1</v>
      </c>
      <c r="C2" t="s">
        <v>218</v>
      </c>
      <c r="D2" t="s">
        <v>219</v>
      </c>
      <c r="E2" t="s">
        <v>219</v>
      </c>
      <c r="F2" t="s">
        <v>220</v>
      </c>
      <c r="G2" t="s">
        <v>199</v>
      </c>
      <c r="H2">
        <v>1</v>
      </c>
    </row>
    <row r="3" spans="1:8" x14ac:dyDescent="0.25">
      <c r="A3" t="s">
        <v>221</v>
      </c>
      <c r="B3">
        <v>1</v>
      </c>
      <c r="C3" t="s">
        <v>218</v>
      </c>
      <c r="D3" t="s">
        <v>219</v>
      </c>
      <c r="E3" t="s">
        <v>222</v>
      </c>
      <c r="F3" t="s">
        <v>220</v>
      </c>
      <c r="G3" t="s">
        <v>199</v>
      </c>
      <c r="H3">
        <v>1</v>
      </c>
    </row>
    <row r="4" spans="1:8" x14ac:dyDescent="0.25">
      <c r="A4" t="s">
        <v>223</v>
      </c>
      <c r="B4">
        <v>1</v>
      </c>
      <c r="C4" t="s">
        <v>218</v>
      </c>
      <c r="D4" t="s">
        <v>219</v>
      </c>
      <c r="E4" t="s">
        <v>224</v>
      </c>
      <c r="F4" t="s">
        <v>220</v>
      </c>
      <c r="G4" t="s">
        <v>199</v>
      </c>
      <c r="H4">
        <v>1</v>
      </c>
    </row>
    <row r="5" spans="1:8" x14ac:dyDescent="0.25">
      <c r="A5" t="s">
        <v>225</v>
      </c>
      <c r="B5">
        <v>1</v>
      </c>
      <c r="C5" t="s">
        <v>218</v>
      </c>
      <c r="D5" t="s">
        <v>219</v>
      </c>
      <c r="E5" t="s">
        <v>226</v>
      </c>
      <c r="F5" t="s">
        <v>220</v>
      </c>
      <c r="G5" t="s">
        <v>199</v>
      </c>
      <c r="H5">
        <v>1</v>
      </c>
    </row>
    <row r="6" spans="1:8" x14ac:dyDescent="0.25">
      <c r="A6" t="s">
        <v>227</v>
      </c>
      <c r="B6">
        <v>1</v>
      </c>
      <c r="C6" t="s">
        <v>218</v>
      </c>
      <c r="D6" t="s">
        <v>219</v>
      </c>
      <c r="E6" t="s">
        <v>228</v>
      </c>
      <c r="F6" t="s">
        <v>220</v>
      </c>
      <c r="G6" t="s">
        <v>199</v>
      </c>
      <c r="H6">
        <v>1</v>
      </c>
    </row>
    <row r="7" spans="1:8" x14ac:dyDescent="0.25">
      <c r="A7" t="s">
        <v>229</v>
      </c>
      <c r="B7">
        <v>2</v>
      </c>
      <c r="C7" t="s">
        <v>229</v>
      </c>
      <c r="D7" t="s">
        <v>230</v>
      </c>
      <c r="E7" t="s">
        <v>230</v>
      </c>
      <c r="F7" t="s">
        <v>220</v>
      </c>
      <c r="G7" t="s">
        <v>199</v>
      </c>
      <c r="H7">
        <v>1</v>
      </c>
    </row>
    <row r="8" spans="1:8" x14ac:dyDescent="0.25">
      <c r="A8" t="s">
        <v>231</v>
      </c>
      <c r="B8">
        <v>3</v>
      </c>
      <c r="C8" t="s">
        <v>232</v>
      </c>
      <c r="D8" t="s">
        <v>233</v>
      </c>
      <c r="E8" t="s">
        <v>234</v>
      </c>
      <c r="F8" t="s">
        <v>220</v>
      </c>
      <c r="G8" t="s">
        <v>199</v>
      </c>
      <c r="H8">
        <v>1</v>
      </c>
    </row>
    <row r="9" spans="1:8" x14ac:dyDescent="0.25">
      <c r="A9" t="s">
        <v>235</v>
      </c>
      <c r="B9">
        <v>3</v>
      </c>
      <c r="C9" t="s">
        <v>232</v>
      </c>
      <c r="D9" t="s">
        <v>233</v>
      </c>
      <c r="E9" t="s">
        <v>236</v>
      </c>
      <c r="F9" t="s">
        <v>220</v>
      </c>
      <c r="G9" t="s">
        <v>199</v>
      </c>
      <c r="H9">
        <v>1</v>
      </c>
    </row>
    <row r="10" spans="1:8" x14ac:dyDescent="0.25">
      <c r="A10" t="s">
        <v>237</v>
      </c>
      <c r="B10">
        <v>3</v>
      </c>
      <c r="C10" t="s">
        <v>232</v>
      </c>
      <c r="D10" t="s">
        <v>233</v>
      </c>
      <c r="E10" t="s">
        <v>238</v>
      </c>
      <c r="F10" t="s">
        <v>220</v>
      </c>
      <c r="G10" t="s">
        <v>199</v>
      </c>
      <c r="H10">
        <v>1</v>
      </c>
    </row>
    <row r="11" spans="1:8" x14ac:dyDescent="0.25">
      <c r="A11" t="s">
        <v>239</v>
      </c>
      <c r="B11">
        <v>3</v>
      </c>
      <c r="C11" t="s">
        <v>232</v>
      </c>
      <c r="D11" t="s">
        <v>233</v>
      </c>
      <c r="E11" t="s">
        <v>240</v>
      </c>
      <c r="F11" t="s">
        <v>220</v>
      </c>
      <c r="G11" t="s">
        <v>199</v>
      </c>
      <c r="H11">
        <v>1</v>
      </c>
    </row>
    <row r="12" spans="1:8" x14ac:dyDescent="0.25">
      <c r="A12" t="s">
        <v>241</v>
      </c>
      <c r="B12">
        <v>3</v>
      </c>
      <c r="C12" t="s">
        <v>232</v>
      </c>
      <c r="D12" t="s">
        <v>233</v>
      </c>
      <c r="E12" t="s">
        <v>242</v>
      </c>
      <c r="F12" t="s">
        <v>220</v>
      </c>
      <c r="G12" t="s">
        <v>199</v>
      </c>
      <c r="H12">
        <v>1</v>
      </c>
    </row>
    <row r="13" spans="1:8" x14ac:dyDescent="0.25">
      <c r="A13" t="s">
        <v>243</v>
      </c>
      <c r="B13">
        <v>3</v>
      </c>
      <c r="C13" t="s">
        <v>232</v>
      </c>
      <c r="D13" t="s">
        <v>233</v>
      </c>
      <c r="E13" t="s">
        <v>244</v>
      </c>
      <c r="F13" t="s">
        <v>220</v>
      </c>
      <c r="G13" t="s">
        <v>199</v>
      </c>
      <c r="H13">
        <v>1</v>
      </c>
    </row>
    <row r="14" spans="1:8" x14ac:dyDescent="0.25">
      <c r="A14" t="s">
        <v>245</v>
      </c>
      <c r="B14">
        <v>3</v>
      </c>
      <c r="C14" t="s">
        <v>232</v>
      </c>
      <c r="D14" t="s">
        <v>233</v>
      </c>
      <c r="E14" t="s">
        <v>246</v>
      </c>
      <c r="F14" t="s">
        <v>220</v>
      </c>
      <c r="G14" t="s">
        <v>199</v>
      </c>
      <c r="H14">
        <v>1</v>
      </c>
    </row>
    <row r="15" spans="1:8" x14ac:dyDescent="0.25">
      <c r="A15" t="s">
        <v>247</v>
      </c>
      <c r="B15">
        <v>3</v>
      </c>
      <c r="C15" t="s">
        <v>232</v>
      </c>
      <c r="D15" t="s">
        <v>233</v>
      </c>
      <c r="E15" t="s">
        <v>248</v>
      </c>
      <c r="F15" t="s">
        <v>220</v>
      </c>
      <c r="G15" t="s">
        <v>199</v>
      </c>
      <c r="H15">
        <v>1</v>
      </c>
    </row>
    <row r="16" spans="1:8" x14ac:dyDescent="0.25">
      <c r="A16" t="s">
        <v>249</v>
      </c>
      <c r="B16">
        <v>3</v>
      </c>
      <c r="C16" t="s">
        <v>232</v>
      </c>
      <c r="D16" t="s">
        <v>233</v>
      </c>
      <c r="E16" t="s">
        <v>250</v>
      </c>
      <c r="F16" t="s">
        <v>220</v>
      </c>
      <c r="G16" t="s">
        <v>199</v>
      </c>
      <c r="H16">
        <v>1</v>
      </c>
    </row>
    <row r="17" spans="1:8" x14ac:dyDescent="0.25">
      <c r="A17" t="s">
        <v>251</v>
      </c>
      <c r="B17">
        <v>3</v>
      </c>
      <c r="C17" t="s">
        <v>232</v>
      </c>
      <c r="D17" t="s">
        <v>233</v>
      </c>
      <c r="E17" t="s">
        <v>252</v>
      </c>
      <c r="F17" t="s">
        <v>220</v>
      </c>
      <c r="G17" t="s">
        <v>199</v>
      </c>
      <c r="H17">
        <v>1</v>
      </c>
    </row>
    <row r="18" spans="1:8" x14ac:dyDescent="0.25">
      <c r="A18" t="s">
        <v>253</v>
      </c>
      <c r="B18">
        <v>3</v>
      </c>
      <c r="C18" t="s">
        <v>232</v>
      </c>
      <c r="D18" t="s">
        <v>233</v>
      </c>
      <c r="E18" t="s">
        <v>254</v>
      </c>
      <c r="F18" t="s">
        <v>220</v>
      </c>
      <c r="G18" t="s">
        <v>199</v>
      </c>
      <c r="H18">
        <v>1</v>
      </c>
    </row>
    <row r="19" spans="1:8" x14ac:dyDescent="0.25">
      <c r="A19" t="s">
        <v>255</v>
      </c>
      <c r="B19">
        <v>3</v>
      </c>
      <c r="C19" t="s">
        <v>232</v>
      </c>
      <c r="D19" t="s">
        <v>233</v>
      </c>
      <c r="E19" t="s">
        <v>256</v>
      </c>
      <c r="F19" t="s">
        <v>220</v>
      </c>
      <c r="G19" t="s">
        <v>199</v>
      </c>
      <c r="H19">
        <v>1</v>
      </c>
    </row>
    <row r="20" spans="1:8" x14ac:dyDescent="0.25">
      <c r="A20" t="s">
        <v>257</v>
      </c>
      <c r="B20">
        <v>3</v>
      </c>
      <c r="C20" t="s">
        <v>232</v>
      </c>
      <c r="D20" t="s">
        <v>233</v>
      </c>
      <c r="E20" t="s">
        <v>258</v>
      </c>
      <c r="F20" t="s">
        <v>220</v>
      </c>
      <c r="G20" t="s">
        <v>199</v>
      </c>
      <c r="H20">
        <v>1</v>
      </c>
    </row>
    <row r="21" spans="1:8" x14ac:dyDescent="0.25">
      <c r="A21" t="s">
        <v>259</v>
      </c>
      <c r="B21">
        <v>3</v>
      </c>
      <c r="C21" t="s">
        <v>232</v>
      </c>
      <c r="D21" t="s">
        <v>233</v>
      </c>
      <c r="E21" t="s">
        <v>260</v>
      </c>
      <c r="F21" t="s">
        <v>220</v>
      </c>
      <c r="G21" t="s">
        <v>199</v>
      </c>
      <c r="H21">
        <v>1</v>
      </c>
    </row>
    <row r="22" spans="1:8" x14ac:dyDescent="0.25">
      <c r="A22" t="s">
        <v>261</v>
      </c>
      <c r="B22">
        <v>3</v>
      </c>
      <c r="C22" t="s">
        <v>232</v>
      </c>
      <c r="D22" t="s">
        <v>233</v>
      </c>
      <c r="E22" t="s">
        <v>262</v>
      </c>
      <c r="F22" t="s">
        <v>220</v>
      </c>
      <c r="G22" t="s">
        <v>199</v>
      </c>
      <c r="H22">
        <v>1</v>
      </c>
    </row>
    <row r="23" spans="1:8" x14ac:dyDescent="0.25">
      <c r="A23" t="s">
        <v>263</v>
      </c>
      <c r="B23">
        <v>3</v>
      </c>
      <c r="C23" t="s">
        <v>232</v>
      </c>
      <c r="D23" t="s">
        <v>233</v>
      </c>
      <c r="E23" t="s">
        <v>264</v>
      </c>
      <c r="F23" t="s">
        <v>220</v>
      </c>
      <c r="G23" t="s">
        <v>199</v>
      </c>
      <c r="H23">
        <v>1</v>
      </c>
    </row>
    <row r="24" spans="1:8" x14ac:dyDescent="0.25">
      <c r="A24" t="s">
        <v>265</v>
      </c>
      <c r="B24">
        <v>3</v>
      </c>
      <c r="C24" t="s">
        <v>232</v>
      </c>
      <c r="D24" t="s">
        <v>233</v>
      </c>
      <c r="E24" t="s">
        <v>266</v>
      </c>
      <c r="F24" t="s">
        <v>220</v>
      </c>
      <c r="G24" t="s">
        <v>199</v>
      </c>
      <c r="H24">
        <v>1</v>
      </c>
    </row>
    <row r="25" spans="1:8" x14ac:dyDescent="0.25">
      <c r="A25" t="s">
        <v>267</v>
      </c>
      <c r="B25">
        <v>3</v>
      </c>
      <c r="C25" t="s">
        <v>232</v>
      </c>
      <c r="D25" t="s">
        <v>233</v>
      </c>
      <c r="E25" t="s">
        <v>268</v>
      </c>
      <c r="F25" t="s">
        <v>220</v>
      </c>
      <c r="G25" t="s">
        <v>199</v>
      </c>
      <c r="H25">
        <v>1</v>
      </c>
    </row>
    <row r="26" spans="1:8" x14ac:dyDescent="0.25">
      <c r="A26" t="s">
        <v>269</v>
      </c>
      <c r="B26">
        <v>3</v>
      </c>
      <c r="C26" t="s">
        <v>232</v>
      </c>
      <c r="D26" t="s">
        <v>233</v>
      </c>
      <c r="E26" t="s">
        <v>270</v>
      </c>
      <c r="F26" t="s">
        <v>220</v>
      </c>
      <c r="G26" t="s">
        <v>199</v>
      </c>
      <c r="H26">
        <v>1</v>
      </c>
    </row>
    <row r="27" spans="1:8" x14ac:dyDescent="0.25">
      <c r="A27" t="s">
        <v>271</v>
      </c>
      <c r="B27">
        <v>3</v>
      </c>
      <c r="C27" t="s">
        <v>232</v>
      </c>
      <c r="D27" t="s">
        <v>233</v>
      </c>
      <c r="E27" t="s">
        <v>272</v>
      </c>
      <c r="F27" t="s">
        <v>220</v>
      </c>
      <c r="G27" t="s">
        <v>199</v>
      </c>
      <c r="H27">
        <v>1</v>
      </c>
    </row>
    <row r="28" spans="1:8" x14ac:dyDescent="0.25">
      <c r="A28" t="s">
        <v>273</v>
      </c>
      <c r="B28">
        <v>3</v>
      </c>
      <c r="C28" t="s">
        <v>232</v>
      </c>
      <c r="D28" t="s">
        <v>233</v>
      </c>
      <c r="E28" t="s">
        <v>274</v>
      </c>
      <c r="F28" t="s">
        <v>220</v>
      </c>
      <c r="G28" t="s">
        <v>199</v>
      </c>
      <c r="H28">
        <v>1</v>
      </c>
    </row>
    <row r="29" spans="1:8" x14ac:dyDescent="0.25">
      <c r="A29" t="s">
        <v>275</v>
      </c>
      <c r="B29">
        <v>3</v>
      </c>
      <c r="C29" t="s">
        <v>232</v>
      </c>
      <c r="D29" t="s">
        <v>233</v>
      </c>
      <c r="E29" t="s">
        <v>276</v>
      </c>
      <c r="F29" t="s">
        <v>220</v>
      </c>
      <c r="G29" t="s">
        <v>199</v>
      </c>
      <c r="H29">
        <v>1</v>
      </c>
    </row>
    <row r="30" spans="1:8" x14ac:dyDescent="0.25">
      <c r="A30" t="s">
        <v>277</v>
      </c>
      <c r="B30">
        <v>3</v>
      </c>
      <c r="C30" t="s">
        <v>232</v>
      </c>
      <c r="D30" t="s">
        <v>233</v>
      </c>
      <c r="E30" t="s">
        <v>278</v>
      </c>
      <c r="F30" t="s">
        <v>220</v>
      </c>
      <c r="G30" t="s">
        <v>199</v>
      </c>
      <c r="H30">
        <v>1</v>
      </c>
    </row>
    <row r="31" spans="1:8" x14ac:dyDescent="0.25">
      <c r="A31" t="s">
        <v>279</v>
      </c>
      <c r="B31">
        <v>4</v>
      </c>
      <c r="C31" t="s">
        <v>279</v>
      </c>
      <c r="D31" t="s">
        <v>204</v>
      </c>
      <c r="E31" t="s">
        <v>204</v>
      </c>
      <c r="F31" t="s">
        <v>204</v>
      </c>
      <c r="G31" t="s">
        <v>204</v>
      </c>
      <c r="H31">
        <v>2</v>
      </c>
    </row>
    <row r="32" spans="1:8" x14ac:dyDescent="0.25">
      <c r="A32" t="s">
        <v>280</v>
      </c>
      <c r="B32">
        <v>5</v>
      </c>
      <c r="C32" t="s">
        <v>280</v>
      </c>
      <c r="D32" t="s">
        <v>281</v>
      </c>
      <c r="E32" t="s">
        <v>281</v>
      </c>
      <c r="F32" t="s">
        <v>204</v>
      </c>
      <c r="G32" t="s">
        <v>204</v>
      </c>
      <c r="H32">
        <v>2</v>
      </c>
    </row>
    <row r="33" spans="1:8" x14ac:dyDescent="0.25">
      <c r="A33" t="s">
        <v>282</v>
      </c>
      <c r="B33">
        <v>6</v>
      </c>
      <c r="C33" t="s">
        <v>282</v>
      </c>
      <c r="D33" t="s">
        <v>192</v>
      </c>
      <c r="E33" t="s">
        <v>192</v>
      </c>
      <c r="F33" t="s">
        <v>283</v>
      </c>
      <c r="G33" t="s">
        <v>284</v>
      </c>
      <c r="H33">
        <v>3</v>
      </c>
    </row>
    <row r="34" spans="1:8" x14ac:dyDescent="0.25">
      <c r="A34" t="s">
        <v>285</v>
      </c>
      <c r="B34">
        <v>7</v>
      </c>
      <c r="C34" t="s">
        <v>285</v>
      </c>
      <c r="D34" t="s">
        <v>286</v>
      </c>
      <c r="E34" t="s">
        <v>286</v>
      </c>
      <c r="F34" t="s">
        <v>283</v>
      </c>
      <c r="G34" t="s">
        <v>284</v>
      </c>
      <c r="H34">
        <v>3</v>
      </c>
    </row>
    <row r="35" spans="1:8" x14ac:dyDescent="0.25">
      <c r="A35" t="s">
        <v>287</v>
      </c>
      <c r="B35">
        <v>8</v>
      </c>
      <c r="C35" t="s">
        <v>287</v>
      </c>
      <c r="D35" t="s">
        <v>288</v>
      </c>
      <c r="E35" t="s">
        <v>288</v>
      </c>
      <c r="F35" t="s">
        <v>289</v>
      </c>
      <c r="G35" t="s">
        <v>290</v>
      </c>
      <c r="H35">
        <v>4</v>
      </c>
    </row>
    <row r="36" spans="1:8" x14ac:dyDescent="0.25">
      <c r="A36" t="s">
        <v>291</v>
      </c>
      <c r="B36">
        <v>9</v>
      </c>
      <c r="C36" t="s">
        <v>291</v>
      </c>
      <c r="D36" t="s">
        <v>292</v>
      </c>
      <c r="E36" t="s">
        <v>292</v>
      </c>
      <c r="F36" t="s">
        <v>204</v>
      </c>
      <c r="G36" t="s">
        <v>204</v>
      </c>
      <c r="H36">
        <v>2</v>
      </c>
    </row>
    <row r="37" spans="1:8" x14ac:dyDescent="0.25">
      <c r="A37" t="s">
        <v>293</v>
      </c>
      <c r="B37">
        <v>10</v>
      </c>
      <c r="C37" t="s">
        <v>294</v>
      </c>
      <c r="D37" t="s">
        <v>290</v>
      </c>
      <c r="E37" t="s">
        <v>295</v>
      </c>
      <c r="F37" t="s">
        <v>283</v>
      </c>
      <c r="G37" t="s">
        <v>284</v>
      </c>
      <c r="H37">
        <v>3</v>
      </c>
    </row>
    <row r="38" spans="1:8" x14ac:dyDescent="0.25">
      <c r="A38" t="s">
        <v>296</v>
      </c>
      <c r="B38">
        <v>10</v>
      </c>
      <c r="C38" t="s">
        <v>294</v>
      </c>
      <c r="D38" t="s">
        <v>290</v>
      </c>
      <c r="E38" t="s">
        <v>297</v>
      </c>
      <c r="F38" t="s">
        <v>283</v>
      </c>
      <c r="G38" t="s">
        <v>284</v>
      </c>
      <c r="H38">
        <v>3</v>
      </c>
    </row>
    <row r="39" spans="1:8" x14ac:dyDescent="0.25">
      <c r="A39" t="s">
        <v>298</v>
      </c>
      <c r="B39">
        <v>11</v>
      </c>
      <c r="C39" t="s">
        <v>298</v>
      </c>
      <c r="D39" t="s">
        <v>299</v>
      </c>
      <c r="E39" t="s">
        <v>299</v>
      </c>
      <c r="F39" t="s">
        <v>289</v>
      </c>
      <c r="G39" t="s">
        <v>290</v>
      </c>
      <c r="H39">
        <v>4</v>
      </c>
    </row>
    <row r="40" spans="1:8" x14ac:dyDescent="0.25">
      <c r="A40" t="s">
        <v>300</v>
      </c>
      <c r="B40">
        <v>12</v>
      </c>
      <c r="C40" t="s">
        <v>300</v>
      </c>
      <c r="D40" t="s">
        <v>301</v>
      </c>
      <c r="E40" t="s">
        <v>301</v>
      </c>
      <c r="F40" t="s">
        <v>289</v>
      </c>
      <c r="G40" t="s">
        <v>290</v>
      </c>
      <c r="H40">
        <v>4</v>
      </c>
    </row>
    <row r="41" spans="1:8" x14ac:dyDescent="0.25">
      <c r="A41" t="s">
        <v>302</v>
      </c>
      <c r="B41">
        <v>13</v>
      </c>
      <c r="C41" t="s">
        <v>302</v>
      </c>
      <c r="D41" t="s">
        <v>200</v>
      </c>
      <c r="E41" t="s">
        <v>200</v>
      </c>
      <c r="F41" s="1" t="s">
        <v>200</v>
      </c>
      <c r="G41" s="1" t="s">
        <v>200</v>
      </c>
      <c r="H41">
        <v>5</v>
      </c>
    </row>
    <row r="42" spans="1:8" x14ac:dyDescent="0.25">
      <c r="A42" t="s">
        <v>303</v>
      </c>
      <c r="B42">
        <v>14</v>
      </c>
      <c r="C42" t="s">
        <v>303</v>
      </c>
      <c r="D42" t="s">
        <v>304</v>
      </c>
      <c r="E42" t="s">
        <v>304</v>
      </c>
      <c r="F42" t="s">
        <v>289</v>
      </c>
      <c r="G42" t="s">
        <v>290</v>
      </c>
      <c r="H42">
        <v>4</v>
      </c>
    </row>
    <row r="43" spans="1:8" x14ac:dyDescent="0.25">
      <c r="A43" t="s">
        <v>305</v>
      </c>
      <c r="B43">
        <v>15</v>
      </c>
      <c r="C43" t="s">
        <v>305</v>
      </c>
      <c r="D43" t="s">
        <v>306</v>
      </c>
      <c r="E43" t="s">
        <v>306</v>
      </c>
      <c r="F43" t="s">
        <v>289</v>
      </c>
      <c r="G43" t="s">
        <v>290</v>
      </c>
      <c r="H43">
        <v>4</v>
      </c>
    </row>
    <row r="44" spans="1:8" x14ac:dyDescent="0.25">
      <c r="A44" t="s">
        <v>307</v>
      </c>
      <c r="B44">
        <v>16</v>
      </c>
      <c r="C44" t="s">
        <v>307</v>
      </c>
      <c r="D44" t="s">
        <v>308</v>
      </c>
      <c r="E44" t="s">
        <v>308</v>
      </c>
      <c r="F44" t="s">
        <v>289</v>
      </c>
      <c r="G44" t="s">
        <v>290</v>
      </c>
      <c r="H44">
        <v>4</v>
      </c>
    </row>
    <row r="45" spans="1:8" x14ac:dyDescent="0.25">
      <c r="A45" t="s">
        <v>309</v>
      </c>
      <c r="B45">
        <v>17</v>
      </c>
      <c r="C45" t="s">
        <v>309</v>
      </c>
      <c r="D45" t="s">
        <v>310</v>
      </c>
      <c r="E45" t="s">
        <v>310</v>
      </c>
      <c r="F45" t="s">
        <v>289</v>
      </c>
      <c r="G45" t="s">
        <v>290</v>
      </c>
      <c r="H45">
        <v>4</v>
      </c>
    </row>
    <row r="46" spans="1:8" x14ac:dyDescent="0.25">
      <c r="A46" t="s">
        <v>311</v>
      </c>
      <c r="B46">
        <v>18</v>
      </c>
      <c r="C46" t="s">
        <v>311</v>
      </c>
      <c r="D46" t="s">
        <v>312</v>
      </c>
      <c r="E46" t="s">
        <v>312</v>
      </c>
      <c r="F46" t="s">
        <v>289</v>
      </c>
      <c r="G46" t="s">
        <v>290</v>
      </c>
      <c r="H46">
        <v>4</v>
      </c>
    </row>
    <row r="47" spans="1:8" x14ac:dyDescent="0.25">
      <c r="A47" t="s">
        <v>313</v>
      </c>
      <c r="B47">
        <v>19</v>
      </c>
      <c r="C47" t="s">
        <v>313</v>
      </c>
      <c r="D47" t="s">
        <v>314</v>
      </c>
      <c r="E47" t="s">
        <v>314</v>
      </c>
      <c r="F47" t="s">
        <v>289</v>
      </c>
      <c r="G47" t="s">
        <v>290</v>
      </c>
      <c r="H47">
        <v>4</v>
      </c>
    </row>
    <row r="48" spans="1:8" x14ac:dyDescent="0.25">
      <c r="A48" t="s">
        <v>315</v>
      </c>
      <c r="B48">
        <v>20</v>
      </c>
      <c r="C48" t="s">
        <v>316</v>
      </c>
      <c r="D48" t="s">
        <v>317</v>
      </c>
      <c r="E48" t="s">
        <v>318</v>
      </c>
      <c r="F48" t="s">
        <v>289</v>
      </c>
      <c r="G48" t="s">
        <v>290</v>
      </c>
      <c r="H48">
        <v>4</v>
      </c>
    </row>
    <row r="49" spans="1:8" x14ac:dyDescent="0.25">
      <c r="A49" t="s">
        <v>319</v>
      </c>
      <c r="B49">
        <v>20</v>
      </c>
      <c r="C49" t="s">
        <v>316</v>
      </c>
      <c r="D49" t="s">
        <v>317</v>
      </c>
      <c r="E49" t="s">
        <v>320</v>
      </c>
      <c r="F49" t="s">
        <v>289</v>
      </c>
      <c r="G49" t="s">
        <v>290</v>
      </c>
      <c r="H49">
        <v>4</v>
      </c>
    </row>
    <row r="50" spans="1:8" x14ac:dyDescent="0.25">
      <c r="A50" t="s">
        <v>321</v>
      </c>
      <c r="B50">
        <v>21</v>
      </c>
      <c r="C50" t="s">
        <v>321</v>
      </c>
      <c r="D50" t="s">
        <v>322</v>
      </c>
      <c r="E50" t="s">
        <v>322</v>
      </c>
      <c r="F50" t="s">
        <v>323</v>
      </c>
      <c r="G50" t="s">
        <v>324</v>
      </c>
      <c r="H50">
        <v>6</v>
      </c>
    </row>
    <row r="51" spans="1:8" x14ac:dyDescent="0.25">
      <c r="A51" t="s">
        <v>325</v>
      </c>
      <c r="B51">
        <v>22</v>
      </c>
      <c r="C51" t="s">
        <v>325</v>
      </c>
      <c r="D51" t="s">
        <v>326</v>
      </c>
      <c r="E51" t="s">
        <v>326</v>
      </c>
      <c r="F51" t="s">
        <v>323</v>
      </c>
      <c r="G51" t="s">
        <v>324</v>
      </c>
      <c r="H51">
        <v>6</v>
      </c>
    </row>
    <row r="52" spans="1:8" x14ac:dyDescent="0.25">
      <c r="A52" t="s">
        <v>327</v>
      </c>
      <c r="B52">
        <v>23</v>
      </c>
      <c r="C52" t="s">
        <v>327</v>
      </c>
      <c r="D52" t="s">
        <v>193</v>
      </c>
      <c r="E52" t="s">
        <v>193</v>
      </c>
      <c r="F52" t="s">
        <v>193</v>
      </c>
      <c r="G52" t="s">
        <v>193</v>
      </c>
      <c r="H52">
        <v>7</v>
      </c>
    </row>
    <row r="53" spans="1:8" x14ac:dyDescent="0.25">
      <c r="A53" t="s">
        <v>328</v>
      </c>
      <c r="B53">
        <v>24</v>
      </c>
      <c r="C53" t="s">
        <v>328</v>
      </c>
      <c r="D53" t="s">
        <v>329</v>
      </c>
      <c r="E53" t="s">
        <v>329</v>
      </c>
      <c r="F53" t="s">
        <v>323</v>
      </c>
      <c r="G53" t="s">
        <v>324</v>
      </c>
      <c r="H53">
        <v>6</v>
      </c>
    </row>
    <row r="54" spans="1:8" x14ac:dyDescent="0.25">
      <c r="A54" t="s">
        <v>330</v>
      </c>
      <c r="B54">
        <v>25</v>
      </c>
      <c r="C54" t="s">
        <v>330</v>
      </c>
      <c r="D54" t="s">
        <v>331</v>
      </c>
      <c r="E54" t="s">
        <v>331</v>
      </c>
      <c r="F54" t="s">
        <v>323</v>
      </c>
      <c r="G54" t="s">
        <v>324</v>
      </c>
      <c r="H54">
        <v>6</v>
      </c>
    </row>
    <row r="55" spans="1:8" x14ac:dyDescent="0.25">
      <c r="A55" t="s">
        <v>332</v>
      </c>
      <c r="B55">
        <v>26</v>
      </c>
      <c r="C55" t="s">
        <v>332</v>
      </c>
      <c r="D55" t="s">
        <v>333</v>
      </c>
      <c r="E55" t="s">
        <v>333</v>
      </c>
      <c r="F55" t="s">
        <v>323</v>
      </c>
      <c r="G55" t="s">
        <v>324</v>
      </c>
      <c r="H55">
        <v>6</v>
      </c>
    </row>
    <row r="56" spans="1:8" x14ac:dyDescent="0.25">
      <c r="A56" t="s">
        <v>334</v>
      </c>
      <c r="B56">
        <v>27</v>
      </c>
      <c r="C56" t="s">
        <v>335</v>
      </c>
      <c r="D56" t="s">
        <v>324</v>
      </c>
      <c r="E56" t="s">
        <v>336</v>
      </c>
      <c r="F56" t="s">
        <v>323</v>
      </c>
      <c r="G56" t="s">
        <v>324</v>
      </c>
      <c r="H56">
        <v>6</v>
      </c>
    </row>
    <row r="57" spans="1:8" x14ac:dyDescent="0.25">
      <c r="A57" t="s">
        <v>337</v>
      </c>
      <c r="B57">
        <v>27</v>
      </c>
      <c r="C57" t="s">
        <v>335</v>
      </c>
      <c r="D57" t="s">
        <v>324</v>
      </c>
      <c r="E57" t="s">
        <v>338</v>
      </c>
      <c r="F57" t="s">
        <v>323</v>
      </c>
      <c r="G57" t="s">
        <v>324</v>
      </c>
      <c r="H57">
        <v>6</v>
      </c>
    </row>
    <row r="58" spans="1:8" x14ac:dyDescent="0.25">
      <c r="A58" t="s">
        <v>339</v>
      </c>
      <c r="B58">
        <v>28</v>
      </c>
      <c r="C58" t="s">
        <v>339</v>
      </c>
      <c r="D58" t="s">
        <v>205</v>
      </c>
      <c r="E58" t="s">
        <v>205</v>
      </c>
      <c r="F58" t="s">
        <v>205</v>
      </c>
      <c r="G58" t="s">
        <v>205</v>
      </c>
      <c r="H58">
        <v>8</v>
      </c>
    </row>
    <row r="59" spans="1:8" x14ac:dyDescent="0.25">
      <c r="A59" t="s">
        <v>340</v>
      </c>
      <c r="B59">
        <v>29</v>
      </c>
      <c r="C59" t="s">
        <v>340</v>
      </c>
      <c r="D59" t="s">
        <v>194</v>
      </c>
      <c r="E59" t="s">
        <v>194</v>
      </c>
      <c r="F59" t="s">
        <v>340</v>
      </c>
      <c r="G59" t="s">
        <v>201</v>
      </c>
      <c r="H59">
        <v>9</v>
      </c>
    </row>
    <row r="60" spans="1:8" x14ac:dyDescent="0.25">
      <c r="A60" t="s">
        <v>341</v>
      </c>
      <c r="B60">
        <v>30</v>
      </c>
      <c r="C60" t="s">
        <v>341</v>
      </c>
      <c r="D60" t="s">
        <v>202</v>
      </c>
      <c r="E60" t="s">
        <v>202</v>
      </c>
      <c r="F60" s="1" t="s">
        <v>202</v>
      </c>
      <c r="G60" s="1" t="s">
        <v>202</v>
      </c>
      <c r="H60">
        <v>10</v>
      </c>
    </row>
    <row r="61" spans="1:8" x14ac:dyDescent="0.25">
      <c r="A61" t="s">
        <v>344</v>
      </c>
      <c r="B61">
        <v>31</v>
      </c>
      <c r="C61" t="s">
        <v>345</v>
      </c>
      <c r="D61" t="s">
        <v>346</v>
      </c>
      <c r="E61" t="s">
        <v>347</v>
      </c>
      <c r="F61" t="s">
        <v>205</v>
      </c>
      <c r="G61" t="s">
        <v>205</v>
      </c>
      <c r="H61">
        <v>8</v>
      </c>
    </row>
    <row r="62" spans="1:8" x14ac:dyDescent="0.25">
      <c r="A62" t="s">
        <v>348</v>
      </c>
      <c r="B62">
        <v>31</v>
      </c>
      <c r="C62" t="s">
        <v>345</v>
      </c>
      <c r="D62" t="s">
        <v>346</v>
      </c>
      <c r="E62" t="s">
        <v>349</v>
      </c>
      <c r="F62" t="s">
        <v>205</v>
      </c>
      <c r="G62" t="s">
        <v>205</v>
      </c>
      <c r="H62">
        <v>8</v>
      </c>
    </row>
    <row r="63" spans="1:8" x14ac:dyDescent="0.25">
      <c r="A63" t="s">
        <v>350</v>
      </c>
      <c r="B63">
        <v>31</v>
      </c>
      <c r="C63" t="s">
        <v>345</v>
      </c>
      <c r="D63" t="s">
        <v>346</v>
      </c>
      <c r="E63" t="s">
        <v>351</v>
      </c>
      <c r="F63" t="s">
        <v>205</v>
      </c>
      <c r="G63" t="s">
        <v>205</v>
      </c>
      <c r="H63">
        <v>8</v>
      </c>
    </row>
    <row r="64" spans="1:8" x14ac:dyDescent="0.25">
      <c r="A64" t="s">
        <v>352</v>
      </c>
      <c r="B64">
        <v>32</v>
      </c>
      <c r="C64" t="s">
        <v>352</v>
      </c>
      <c r="D64" t="s">
        <v>353</v>
      </c>
      <c r="E64" t="s">
        <v>353</v>
      </c>
      <c r="F64" t="s">
        <v>342</v>
      </c>
      <c r="G64" t="s">
        <v>343</v>
      </c>
      <c r="H64">
        <v>12</v>
      </c>
    </row>
    <row r="65" spans="1:8" x14ac:dyDescent="0.25">
      <c r="A65" t="s">
        <v>354</v>
      </c>
      <c r="B65">
        <v>33</v>
      </c>
      <c r="C65" t="s">
        <v>354</v>
      </c>
      <c r="D65" t="s">
        <v>355</v>
      </c>
      <c r="E65" t="s">
        <v>355</v>
      </c>
      <c r="F65" t="s">
        <v>342</v>
      </c>
      <c r="G65" t="s">
        <v>343</v>
      </c>
      <c r="H65">
        <v>12</v>
      </c>
    </row>
    <row r="66" spans="1:8" x14ac:dyDescent="0.25">
      <c r="A66" t="s">
        <v>356</v>
      </c>
      <c r="B66">
        <v>34</v>
      </c>
      <c r="C66" t="s">
        <v>356</v>
      </c>
      <c r="D66" t="s">
        <v>203</v>
      </c>
      <c r="E66" t="s">
        <v>203</v>
      </c>
      <c r="F66" t="s">
        <v>203</v>
      </c>
      <c r="G66" t="s">
        <v>203</v>
      </c>
      <c r="H66">
        <v>11</v>
      </c>
    </row>
    <row r="67" spans="1:8" x14ac:dyDescent="0.25">
      <c r="A67" t="s">
        <v>357</v>
      </c>
      <c r="B67">
        <v>35</v>
      </c>
      <c r="C67" t="s">
        <v>357</v>
      </c>
      <c r="D67" t="s">
        <v>358</v>
      </c>
      <c r="E67" t="s">
        <v>358</v>
      </c>
      <c r="F67" t="s">
        <v>342</v>
      </c>
      <c r="G67" t="s">
        <v>343</v>
      </c>
      <c r="H67">
        <v>12</v>
      </c>
    </row>
    <row r="68" spans="1:8" x14ac:dyDescent="0.25">
      <c r="A68" t="s">
        <v>359</v>
      </c>
      <c r="B68">
        <v>36</v>
      </c>
      <c r="C68" t="s">
        <v>359</v>
      </c>
      <c r="D68" t="s">
        <v>360</v>
      </c>
      <c r="E68" t="s">
        <v>360</v>
      </c>
      <c r="F68" t="s">
        <v>342</v>
      </c>
      <c r="G68" t="s">
        <v>343</v>
      </c>
      <c r="H68">
        <v>12</v>
      </c>
    </row>
    <row r="69" spans="1:8" x14ac:dyDescent="0.25">
      <c r="A69" t="s">
        <v>361</v>
      </c>
      <c r="B69">
        <v>37</v>
      </c>
      <c r="C69" t="s">
        <v>361</v>
      </c>
      <c r="D69" t="s">
        <v>362</v>
      </c>
      <c r="E69" t="s">
        <v>362</v>
      </c>
      <c r="F69" t="s">
        <v>342</v>
      </c>
      <c r="G69" t="s">
        <v>343</v>
      </c>
      <c r="H69">
        <v>12</v>
      </c>
    </row>
    <row r="70" spans="1:8" x14ac:dyDescent="0.25">
      <c r="A70" t="s">
        <v>363</v>
      </c>
      <c r="B70">
        <v>38</v>
      </c>
      <c r="C70" t="s">
        <v>363</v>
      </c>
      <c r="D70" t="s">
        <v>364</v>
      </c>
      <c r="E70" t="s">
        <v>364</v>
      </c>
      <c r="F70" t="s">
        <v>342</v>
      </c>
      <c r="G70" t="s">
        <v>343</v>
      </c>
      <c r="H70">
        <v>12</v>
      </c>
    </row>
    <row r="71" spans="1:8" x14ac:dyDescent="0.25">
      <c r="A71" t="s">
        <v>365</v>
      </c>
      <c r="B71">
        <v>39</v>
      </c>
      <c r="C71" t="s">
        <v>365</v>
      </c>
      <c r="D71" t="s">
        <v>366</v>
      </c>
      <c r="E71" t="s">
        <v>366</v>
      </c>
      <c r="F71" t="s">
        <v>342</v>
      </c>
      <c r="G71" t="s">
        <v>343</v>
      </c>
      <c r="H71">
        <v>12</v>
      </c>
    </row>
    <row r="72" spans="1:8" x14ac:dyDescent="0.25">
      <c r="A72" t="s">
        <v>367</v>
      </c>
      <c r="B72">
        <v>40</v>
      </c>
      <c r="C72" t="s">
        <v>367</v>
      </c>
      <c r="D72" t="s">
        <v>368</v>
      </c>
      <c r="E72" t="s">
        <v>368</v>
      </c>
      <c r="F72" t="s">
        <v>342</v>
      </c>
      <c r="G72" t="s">
        <v>343</v>
      </c>
      <c r="H72">
        <v>12</v>
      </c>
    </row>
    <row r="73" spans="1:8" x14ac:dyDescent="0.25">
      <c r="A73" t="s">
        <v>369</v>
      </c>
      <c r="B73">
        <v>41</v>
      </c>
      <c r="C73" t="s">
        <v>369</v>
      </c>
      <c r="D73" t="s">
        <v>370</v>
      </c>
      <c r="E73" t="s">
        <v>370</v>
      </c>
      <c r="F73" t="s">
        <v>342</v>
      </c>
      <c r="G73" t="s">
        <v>343</v>
      </c>
      <c r="H73">
        <v>12</v>
      </c>
    </row>
    <row r="74" spans="1:8" x14ac:dyDescent="0.25">
      <c r="A74" t="s">
        <v>371</v>
      </c>
      <c r="B74">
        <v>42</v>
      </c>
      <c r="C74" t="s">
        <v>372</v>
      </c>
      <c r="D74" t="s">
        <v>373</v>
      </c>
      <c r="E74" t="s">
        <v>374</v>
      </c>
      <c r="F74" t="s">
        <v>342</v>
      </c>
      <c r="G74" t="s">
        <v>343</v>
      </c>
      <c r="H74">
        <v>12</v>
      </c>
    </row>
    <row r="75" spans="1:8" x14ac:dyDescent="0.25">
      <c r="A75" t="s">
        <v>375</v>
      </c>
      <c r="B75">
        <v>42</v>
      </c>
      <c r="C75" t="s">
        <v>372</v>
      </c>
      <c r="D75" t="s">
        <v>373</v>
      </c>
      <c r="E75" t="s">
        <v>376</v>
      </c>
      <c r="F75" t="s">
        <v>342</v>
      </c>
      <c r="G75" t="s">
        <v>343</v>
      </c>
      <c r="H75">
        <v>12</v>
      </c>
    </row>
    <row r="76" spans="1:8" x14ac:dyDescent="0.25">
      <c r="A76" t="s">
        <v>377</v>
      </c>
      <c r="B76">
        <v>42</v>
      </c>
      <c r="C76" t="s">
        <v>372</v>
      </c>
      <c r="D76" t="s">
        <v>373</v>
      </c>
      <c r="E76" t="s">
        <v>378</v>
      </c>
      <c r="F76" t="s">
        <v>342</v>
      </c>
      <c r="G76" t="s">
        <v>343</v>
      </c>
      <c r="H76">
        <v>12</v>
      </c>
    </row>
    <row r="77" spans="1:8" x14ac:dyDescent="0.25">
      <c r="A77" t="s">
        <v>379</v>
      </c>
      <c r="B77">
        <v>42</v>
      </c>
      <c r="C77" t="s">
        <v>372</v>
      </c>
      <c r="D77" t="s">
        <v>373</v>
      </c>
      <c r="E77" t="s">
        <v>380</v>
      </c>
      <c r="F77" t="s">
        <v>342</v>
      </c>
      <c r="G77" t="s">
        <v>343</v>
      </c>
      <c r="H77">
        <v>12</v>
      </c>
    </row>
    <row r="78" spans="1:8" x14ac:dyDescent="0.25">
      <c r="A78" t="s">
        <v>381</v>
      </c>
      <c r="B78">
        <v>42</v>
      </c>
      <c r="C78" t="s">
        <v>372</v>
      </c>
      <c r="D78" t="s">
        <v>373</v>
      </c>
      <c r="E78" t="s">
        <v>382</v>
      </c>
      <c r="F78" t="s">
        <v>342</v>
      </c>
      <c r="G78" t="s">
        <v>343</v>
      </c>
      <c r="H78">
        <v>12</v>
      </c>
    </row>
    <row r="79" spans="1:8" x14ac:dyDescent="0.25">
      <c r="A79" t="s">
        <v>383</v>
      </c>
      <c r="B79">
        <v>43</v>
      </c>
      <c r="C79" t="s">
        <v>383</v>
      </c>
      <c r="D79" t="s">
        <v>384</v>
      </c>
      <c r="E79" t="s">
        <v>384</v>
      </c>
      <c r="F79" t="s">
        <v>342</v>
      </c>
      <c r="G79" t="s">
        <v>343</v>
      </c>
      <c r="H79">
        <v>12</v>
      </c>
    </row>
    <row r="80" spans="1:8" x14ac:dyDescent="0.25">
      <c r="A80" t="s">
        <v>385</v>
      </c>
      <c r="B80">
        <v>44</v>
      </c>
      <c r="C80" t="s">
        <v>385</v>
      </c>
      <c r="D80" t="s">
        <v>386</v>
      </c>
      <c r="E80" t="s">
        <v>386</v>
      </c>
      <c r="F80" t="s">
        <v>342</v>
      </c>
      <c r="G80" t="s">
        <v>343</v>
      </c>
      <c r="H80">
        <v>12</v>
      </c>
    </row>
    <row r="81" spans="1:8" x14ac:dyDescent="0.25">
      <c r="A81" t="s">
        <v>387</v>
      </c>
      <c r="B81">
        <v>45</v>
      </c>
      <c r="C81" t="s">
        <v>387</v>
      </c>
      <c r="D81" t="s">
        <v>388</v>
      </c>
      <c r="E81" t="s">
        <v>388</v>
      </c>
      <c r="F81" t="s">
        <v>342</v>
      </c>
      <c r="G81" t="s">
        <v>343</v>
      </c>
      <c r="H81">
        <v>12</v>
      </c>
    </row>
    <row r="82" spans="1:8" x14ac:dyDescent="0.25">
      <c r="A82" t="s">
        <v>389</v>
      </c>
      <c r="B82">
        <v>46</v>
      </c>
      <c r="C82" t="s">
        <v>389</v>
      </c>
      <c r="D82" t="s">
        <v>390</v>
      </c>
      <c r="E82" t="s">
        <v>390</v>
      </c>
      <c r="F82" t="s">
        <v>342</v>
      </c>
      <c r="G82" t="s">
        <v>343</v>
      </c>
      <c r="H82">
        <v>12</v>
      </c>
    </row>
    <row r="83" spans="1:8" x14ac:dyDescent="0.25">
      <c r="A83" t="s">
        <v>391</v>
      </c>
      <c r="B83">
        <v>47</v>
      </c>
      <c r="C83" t="s">
        <v>391</v>
      </c>
      <c r="D83" t="s">
        <v>392</v>
      </c>
      <c r="E83" t="s">
        <v>392</v>
      </c>
      <c r="F83" t="s">
        <v>342</v>
      </c>
      <c r="G83" t="s">
        <v>343</v>
      </c>
      <c r="H83">
        <v>12</v>
      </c>
    </row>
    <row r="84" spans="1:8" x14ac:dyDescent="0.25">
      <c r="A84" t="s">
        <v>393</v>
      </c>
      <c r="B84">
        <v>48</v>
      </c>
      <c r="C84" t="s">
        <v>393</v>
      </c>
      <c r="D84" t="s">
        <v>394</v>
      </c>
      <c r="E84" t="s">
        <v>394</v>
      </c>
      <c r="F84" t="s">
        <v>342</v>
      </c>
      <c r="G84" t="s">
        <v>343</v>
      </c>
      <c r="H84">
        <v>12</v>
      </c>
    </row>
    <row r="85" spans="1:8" x14ac:dyDescent="0.25">
      <c r="A85" t="s">
        <v>395</v>
      </c>
      <c r="B85">
        <v>49</v>
      </c>
      <c r="C85" t="s">
        <v>396</v>
      </c>
      <c r="D85" t="s">
        <v>397</v>
      </c>
      <c r="E85" t="s">
        <v>398</v>
      </c>
      <c r="F85" t="s">
        <v>342</v>
      </c>
      <c r="G85" t="s">
        <v>343</v>
      </c>
      <c r="H85">
        <v>12</v>
      </c>
    </row>
    <row r="86" spans="1:8" x14ac:dyDescent="0.25">
      <c r="A86" t="s">
        <v>399</v>
      </c>
      <c r="B86">
        <v>50</v>
      </c>
      <c r="C86" t="s">
        <v>399</v>
      </c>
      <c r="D86" t="s">
        <v>400</v>
      </c>
      <c r="E86" t="s">
        <v>400</v>
      </c>
      <c r="F86" t="s">
        <v>342</v>
      </c>
      <c r="G86" t="s">
        <v>343</v>
      </c>
      <c r="H86">
        <v>12</v>
      </c>
    </row>
    <row r="87" spans="1:8" x14ac:dyDescent="0.25">
      <c r="A87" t="s">
        <v>401</v>
      </c>
      <c r="B87">
        <v>51</v>
      </c>
      <c r="C87" t="s">
        <v>401</v>
      </c>
      <c r="D87" t="s">
        <v>402</v>
      </c>
      <c r="E87" t="s">
        <v>402</v>
      </c>
      <c r="F87" t="s">
        <v>342</v>
      </c>
      <c r="G87" t="s">
        <v>343</v>
      </c>
      <c r="H87">
        <v>12</v>
      </c>
    </row>
    <row r="88" spans="1:8" x14ac:dyDescent="0.25">
      <c r="A88" t="s">
        <v>403</v>
      </c>
      <c r="B88">
        <v>52</v>
      </c>
      <c r="C88" t="s">
        <v>403</v>
      </c>
      <c r="D88" t="s">
        <v>404</v>
      </c>
      <c r="E88" t="s">
        <v>404</v>
      </c>
      <c r="F88" t="s">
        <v>342</v>
      </c>
      <c r="G88" t="s">
        <v>343</v>
      </c>
      <c r="H88">
        <v>12</v>
      </c>
    </row>
    <row r="89" spans="1:8" x14ac:dyDescent="0.25">
      <c r="A89" t="s">
        <v>405</v>
      </c>
      <c r="B89">
        <v>53</v>
      </c>
      <c r="C89" t="s">
        <v>405</v>
      </c>
      <c r="D89" t="s">
        <v>406</v>
      </c>
      <c r="E89" t="s">
        <v>406</v>
      </c>
      <c r="F89" t="s">
        <v>342</v>
      </c>
      <c r="G89" t="s">
        <v>343</v>
      </c>
      <c r="H89">
        <v>12</v>
      </c>
    </row>
    <row r="90" spans="1:8" x14ac:dyDescent="0.25">
      <c r="A90" t="s">
        <v>407</v>
      </c>
      <c r="B90">
        <v>54</v>
      </c>
      <c r="C90" t="s">
        <v>407</v>
      </c>
      <c r="D90" t="s">
        <v>408</v>
      </c>
      <c r="E90" t="s">
        <v>408</v>
      </c>
      <c r="F90" t="s">
        <v>342</v>
      </c>
      <c r="G90" t="s">
        <v>343</v>
      </c>
      <c r="H90">
        <v>12</v>
      </c>
    </row>
    <row r="91" spans="1:8" x14ac:dyDescent="0.25">
      <c r="A91" t="s">
        <v>409</v>
      </c>
      <c r="B91">
        <v>55</v>
      </c>
      <c r="C91" t="s">
        <v>410</v>
      </c>
      <c r="D91" t="s">
        <v>411</v>
      </c>
      <c r="E91" t="s">
        <v>412</v>
      </c>
      <c r="F91" t="s">
        <v>342</v>
      </c>
      <c r="G91" t="s">
        <v>343</v>
      </c>
      <c r="H91">
        <v>12</v>
      </c>
    </row>
    <row r="92" spans="1:8" x14ac:dyDescent="0.25">
      <c r="A92" t="s">
        <v>413</v>
      </c>
      <c r="B92">
        <v>55</v>
      </c>
      <c r="C92" t="s">
        <v>410</v>
      </c>
      <c r="D92" t="s">
        <v>411</v>
      </c>
      <c r="E92" t="s">
        <v>414</v>
      </c>
      <c r="F92" t="s">
        <v>342</v>
      </c>
      <c r="G92" t="s">
        <v>343</v>
      </c>
      <c r="H92">
        <v>12</v>
      </c>
    </row>
    <row r="93" spans="1:8" x14ac:dyDescent="0.25">
      <c r="A93" t="s">
        <v>415</v>
      </c>
      <c r="B93">
        <v>55</v>
      </c>
      <c r="C93" t="s">
        <v>410</v>
      </c>
      <c r="D93" t="s">
        <v>411</v>
      </c>
      <c r="E93" t="s">
        <v>416</v>
      </c>
      <c r="F93" t="s">
        <v>342</v>
      </c>
      <c r="G93" t="s">
        <v>343</v>
      </c>
      <c r="H93">
        <v>12</v>
      </c>
    </row>
    <row r="94" spans="1:8" x14ac:dyDescent="0.25">
      <c r="A94" t="s">
        <v>417</v>
      </c>
      <c r="B94">
        <v>55</v>
      </c>
      <c r="C94" t="s">
        <v>410</v>
      </c>
      <c r="D94" t="s">
        <v>411</v>
      </c>
      <c r="E94" t="s">
        <v>418</v>
      </c>
      <c r="F94" t="s">
        <v>342</v>
      </c>
      <c r="G94" t="s">
        <v>343</v>
      </c>
      <c r="H94">
        <v>12</v>
      </c>
    </row>
    <row r="95" spans="1:8" x14ac:dyDescent="0.25">
      <c r="A95" t="s">
        <v>419</v>
      </c>
      <c r="B95">
        <v>55</v>
      </c>
      <c r="C95" t="s">
        <v>410</v>
      </c>
      <c r="D95" t="s">
        <v>411</v>
      </c>
      <c r="E95" t="s">
        <v>420</v>
      </c>
      <c r="F95" t="s">
        <v>342</v>
      </c>
      <c r="G95" t="s">
        <v>343</v>
      </c>
      <c r="H95">
        <v>12</v>
      </c>
    </row>
    <row r="96" spans="1:8" x14ac:dyDescent="0.25">
      <c r="A96" t="s">
        <v>421</v>
      </c>
      <c r="B96">
        <v>55</v>
      </c>
      <c r="C96" t="s">
        <v>410</v>
      </c>
      <c r="D96" t="s">
        <v>411</v>
      </c>
      <c r="E96" t="s">
        <v>422</v>
      </c>
      <c r="F96" t="s">
        <v>342</v>
      </c>
      <c r="G96" t="s">
        <v>343</v>
      </c>
      <c r="H96">
        <v>12</v>
      </c>
    </row>
    <row r="97" spans="1:14" x14ac:dyDescent="0.25">
      <c r="A97" t="s">
        <v>423</v>
      </c>
      <c r="B97">
        <v>55</v>
      </c>
      <c r="C97" t="s">
        <v>410</v>
      </c>
      <c r="D97" t="s">
        <v>411</v>
      </c>
      <c r="E97" t="s">
        <v>424</v>
      </c>
      <c r="F97" t="s">
        <v>342</v>
      </c>
      <c r="G97" t="s">
        <v>343</v>
      </c>
      <c r="H97">
        <v>12</v>
      </c>
    </row>
    <row r="98" spans="1:14" x14ac:dyDescent="0.25">
      <c r="A98" t="s">
        <v>425</v>
      </c>
      <c r="B98">
        <v>55</v>
      </c>
      <c r="C98" t="s">
        <v>410</v>
      </c>
      <c r="D98" t="s">
        <v>411</v>
      </c>
      <c r="E98" t="s">
        <v>426</v>
      </c>
      <c r="F98" t="s">
        <v>342</v>
      </c>
      <c r="G98" t="s">
        <v>343</v>
      </c>
      <c r="H98">
        <v>12</v>
      </c>
    </row>
    <row r="99" spans="1:14" x14ac:dyDescent="0.25">
      <c r="A99" t="s">
        <v>427</v>
      </c>
      <c r="B99">
        <v>55</v>
      </c>
      <c r="C99" t="s">
        <v>410</v>
      </c>
      <c r="D99" t="s">
        <v>411</v>
      </c>
      <c r="E99" t="s">
        <v>428</v>
      </c>
      <c r="F99" t="s">
        <v>342</v>
      </c>
      <c r="G99" t="s">
        <v>343</v>
      </c>
      <c r="H99">
        <v>12</v>
      </c>
    </row>
    <row r="100" spans="1:14" x14ac:dyDescent="0.25">
      <c r="A100" t="s">
        <v>429</v>
      </c>
      <c r="B100">
        <v>55</v>
      </c>
      <c r="C100" t="s">
        <v>410</v>
      </c>
      <c r="D100" t="s">
        <v>411</v>
      </c>
      <c r="E100" t="s">
        <v>430</v>
      </c>
      <c r="F100" t="s">
        <v>342</v>
      </c>
      <c r="G100" t="s">
        <v>343</v>
      </c>
      <c r="H100">
        <v>12</v>
      </c>
    </row>
    <row r="101" spans="1:14" x14ac:dyDescent="0.25">
      <c r="A101" t="s">
        <v>431</v>
      </c>
      <c r="B101">
        <v>55</v>
      </c>
      <c r="C101" t="s">
        <v>410</v>
      </c>
      <c r="D101" t="s">
        <v>411</v>
      </c>
      <c r="E101" t="s">
        <v>432</v>
      </c>
      <c r="F101" t="s">
        <v>342</v>
      </c>
      <c r="G101" t="s">
        <v>343</v>
      </c>
      <c r="H101">
        <v>12</v>
      </c>
    </row>
    <row r="102" spans="1:14" x14ac:dyDescent="0.25">
      <c r="A102" t="s">
        <v>433</v>
      </c>
      <c r="B102">
        <v>55</v>
      </c>
      <c r="C102" t="s">
        <v>410</v>
      </c>
      <c r="D102" t="s">
        <v>411</v>
      </c>
      <c r="E102" t="s">
        <v>434</v>
      </c>
      <c r="F102" t="s">
        <v>342</v>
      </c>
      <c r="G102" t="s">
        <v>343</v>
      </c>
      <c r="H102">
        <v>12</v>
      </c>
    </row>
    <row r="103" spans="1:14" x14ac:dyDescent="0.25">
      <c r="A103" t="s">
        <v>435</v>
      </c>
      <c r="B103">
        <v>55</v>
      </c>
      <c r="C103" t="s">
        <v>410</v>
      </c>
      <c r="D103" t="s">
        <v>411</v>
      </c>
      <c r="E103" t="s">
        <v>436</v>
      </c>
      <c r="F103" t="s">
        <v>342</v>
      </c>
      <c r="G103" t="s">
        <v>343</v>
      </c>
      <c r="H103">
        <v>12</v>
      </c>
    </row>
    <row r="104" spans="1:14" x14ac:dyDescent="0.25">
      <c r="A104" t="s">
        <v>437</v>
      </c>
      <c r="B104">
        <v>55</v>
      </c>
      <c r="C104" t="s">
        <v>410</v>
      </c>
      <c r="D104" t="s">
        <v>411</v>
      </c>
      <c r="E104" t="s">
        <v>438</v>
      </c>
      <c r="F104" t="s">
        <v>342</v>
      </c>
      <c r="G104" t="s">
        <v>343</v>
      </c>
      <c r="H104">
        <v>12</v>
      </c>
    </row>
    <row r="105" spans="1:14" x14ac:dyDescent="0.25">
      <c r="A105" t="s">
        <v>439</v>
      </c>
      <c r="B105">
        <v>55</v>
      </c>
      <c r="C105" t="s">
        <v>410</v>
      </c>
      <c r="D105" t="s">
        <v>411</v>
      </c>
      <c r="E105" t="s">
        <v>440</v>
      </c>
      <c r="F105" t="s">
        <v>342</v>
      </c>
      <c r="G105" t="s">
        <v>343</v>
      </c>
      <c r="H105">
        <v>12</v>
      </c>
    </row>
    <row r="106" spans="1:14" x14ac:dyDescent="0.25">
      <c r="A106" t="s">
        <v>441</v>
      </c>
      <c r="B106">
        <v>55</v>
      </c>
      <c r="C106" t="s">
        <v>410</v>
      </c>
      <c r="D106" t="s">
        <v>411</v>
      </c>
      <c r="E106" t="s">
        <v>442</v>
      </c>
      <c r="F106" t="s">
        <v>342</v>
      </c>
      <c r="G106" t="s">
        <v>343</v>
      </c>
      <c r="H106">
        <v>12</v>
      </c>
    </row>
    <row r="107" spans="1:14" x14ac:dyDescent="0.25">
      <c r="A107" t="s">
        <v>443</v>
      </c>
      <c r="B107">
        <v>55</v>
      </c>
      <c r="C107" t="s">
        <v>410</v>
      </c>
      <c r="D107" t="s">
        <v>411</v>
      </c>
      <c r="E107" t="s">
        <v>444</v>
      </c>
      <c r="F107" t="s">
        <v>342</v>
      </c>
      <c r="G107" t="s">
        <v>343</v>
      </c>
      <c r="H107">
        <v>12</v>
      </c>
    </row>
    <row r="108" spans="1:14" x14ac:dyDescent="0.25">
      <c r="A108" t="s">
        <v>445</v>
      </c>
      <c r="B108">
        <v>55</v>
      </c>
      <c r="C108" t="s">
        <v>410</v>
      </c>
      <c r="D108" t="s">
        <v>411</v>
      </c>
      <c r="E108" t="s">
        <v>446</v>
      </c>
      <c r="F108" t="s">
        <v>342</v>
      </c>
      <c r="G108" t="s">
        <v>343</v>
      </c>
      <c r="H108">
        <v>12</v>
      </c>
    </row>
    <row r="109" spans="1:14" x14ac:dyDescent="0.25">
      <c r="A109" t="s">
        <v>447</v>
      </c>
      <c r="B109">
        <v>55</v>
      </c>
      <c r="C109" t="s">
        <v>410</v>
      </c>
      <c r="D109" t="s">
        <v>411</v>
      </c>
      <c r="E109" t="s">
        <v>448</v>
      </c>
      <c r="F109" t="s">
        <v>342</v>
      </c>
      <c r="G109" t="s">
        <v>343</v>
      </c>
      <c r="H109">
        <v>12</v>
      </c>
    </row>
    <row r="110" spans="1:14" x14ac:dyDescent="0.25">
      <c r="A110" t="s">
        <v>449</v>
      </c>
      <c r="B110">
        <v>55</v>
      </c>
      <c r="C110" t="s">
        <v>410</v>
      </c>
      <c r="D110" t="s">
        <v>411</v>
      </c>
      <c r="E110" t="s">
        <v>450</v>
      </c>
      <c r="F110" t="s">
        <v>342</v>
      </c>
      <c r="G110" t="s">
        <v>343</v>
      </c>
      <c r="H110">
        <v>12</v>
      </c>
      <c r="L110" s="4"/>
      <c r="M110" s="4"/>
      <c r="N110" s="4"/>
    </row>
    <row r="111" spans="1:14" x14ac:dyDescent="0.25">
      <c r="A111" t="s">
        <v>451</v>
      </c>
      <c r="B111">
        <v>55</v>
      </c>
      <c r="C111" t="s">
        <v>410</v>
      </c>
      <c r="D111" t="s">
        <v>411</v>
      </c>
      <c r="E111" t="s">
        <v>452</v>
      </c>
      <c r="F111" t="s">
        <v>342</v>
      </c>
      <c r="G111" t="s">
        <v>343</v>
      </c>
      <c r="H111">
        <v>12</v>
      </c>
      <c r="L111" s="4"/>
      <c r="M111" s="4"/>
      <c r="N111" s="4"/>
    </row>
    <row r="112" spans="1:14" x14ac:dyDescent="0.25">
      <c r="A112" t="s">
        <v>694</v>
      </c>
      <c r="B112">
        <v>56</v>
      </c>
      <c r="C112" t="s">
        <v>175</v>
      </c>
      <c r="D112" t="s">
        <v>694</v>
      </c>
      <c r="E112" t="s">
        <v>694</v>
      </c>
      <c r="F112" t="s">
        <v>175</v>
      </c>
      <c r="G112" t="s">
        <v>807</v>
      </c>
      <c r="H112">
        <v>13</v>
      </c>
      <c r="L112" s="4"/>
      <c r="M112" s="4"/>
      <c r="N112" s="4"/>
    </row>
    <row r="113" spans="1:14" x14ac:dyDescent="0.25">
      <c r="A113" t="s">
        <v>695</v>
      </c>
      <c r="B113">
        <v>57</v>
      </c>
      <c r="C113" t="s">
        <v>176</v>
      </c>
      <c r="D113" t="s">
        <v>695</v>
      </c>
      <c r="E113" t="s">
        <v>695</v>
      </c>
      <c r="F113" t="s">
        <v>176</v>
      </c>
      <c r="G113" t="s">
        <v>808</v>
      </c>
      <c r="H113">
        <v>14</v>
      </c>
      <c r="L113" s="4"/>
      <c r="M113" s="4"/>
      <c r="N113" s="4"/>
    </row>
    <row r="114" spans="1:14" x14ac:dyDescent="0.25">
      <c r="A114" t="s">
        <v>696</v>
      </c>
      <c r="B114">
        <v>58</v>
      </c>
      <c r="C114" t="s">
        <v>12</v>
      </c>
      <c r="D114" t="s">
        <v>696</v>
      </c>
      <c r="E114" t="s">
        <v>696</v>
      </c>
      <c r="F114" t="s">
        <v>12</v>
      </c>
      <c r="G114" t="s">
        <v>809</v>
      </c>
      <c r="H114">
        <v>15</v>
      </c>
      <c r="L114" s="4"/>
      <c r="M114" s="4"/>
      <c r="N114" s="4"/>
    </row>
    <row r="115" spans="1:14" x14ac:dyDescent="0.25">
      <c r="A115" t="s">
        <v>697</v>
      </c>
      <c r="B115">
        <v>59</v>
      </c>
      <c r="C115" t="s">
        <v>13</v>
      </c>
      <c r="D115" t="s">
        <v>697</v>
      </c>
      <c r="E115" t="s">
        <v>697</v>
      </c>
      <c r="F115" t="s">
        <v>13</v>
      </c>
      <c r="G115" t="s">
        <v>810</v>
      </c>
      <c r="H115">
        <v>16</v>
      </c>
      <c r="L115" s="4"/>
      <c r="M115" s="4"/>
      <c r="N115" s="4"/>
    </row>
    <row r="116" spans="1:14" x14ac:dyDescent="0.25">
      <c r="A116" t="s">
        <v>698</v>
      </c>
      <c r="B116">
        <v>60</v>
      </c>
      <c r="C116" t="s">
        <v>0</v>
      </c>
      <c r="D116" t="s">
        <v>698</v>
      </c>
      <c r="E116" t="s">
        <v>698</v>
      </c>
      <c r="F116" t="s">
        <v>0</v>
      </c>
      <c r="G116" t="s">
        <v>811</v>
      </c>
      <c r="H116">
        <v>17</v>
      </c>
      <c r="L116" s="4"/>
      <c r="M116" s="4"/>
      <c r="N116" s="4"/>
    </row>
    <row r="117" spans="1:14" x14ac:dyDescent="0.25">
      <c r="A117" t="s">
        <v>699</v>
      </c>
      <c r="B117">
        <v>61</v>
      </c>
      <c r="C117" t="s">
        <v>177</v>
      </c>
      <c r="D117" t="s">
        <v>699</v>
      </c>
      <c r="E117" t="s">
        <v>699</v>
      </c>
      <c r="F117" t="s">
        <v>177</v>
      </c>
      <c r="G117" t="s">
        <v>812</v>
      </c>
      <c r="H117">
        <v>18</v>
      </c>
      <c r="L117" s="4"/>
      <c r="M117" s="4"/>
      <c r="N117" s="4"/>
    </row>
    <row r="118" spans="1:14" x14ac:dyDescent="0.25">
      <c r="A118" t="s">
        <v>700</v>
      </c>
      <c r="B118">
        <v>62</v>
      </c>
      <c r="C118" t="s">
        <v>1</v>
      </c>
      <c r="D118" t="s">
        <v>700</v>
      </c>
      <c r="E118" t="s">
        <v>700</v>
      </c>
      <c r="F118" t="s">
        <v>1</v>
      </c>
      <c r="G118" t="s">
        <v>813</v>
      </c>
      <c r="H118">
        <v>19</v>
      </c>
      <c r="L118" s="4"/>
      <c r="M118" s="4"/>
      <c r="N118" s="4"/>
    </row>
    <row r="119" spans="1:14" x14ac:dyDescent="0.25">
      <c r="A119" t="s">
        <v>701</v>
      </c>
      <c r="B119">
        <v>63</v>
      </c>
      <c r="C119" t="s">
        <v>2</v>
      </c>
      <c r="D119" t="s">
        <v>701</v>
      </c>
      <c r="E119" t="s">
        <v>701</v>
      </c>
      <c r="F119" t="s">
        <v>2</v>
      </c>
      <c r="G119" t="s">
        <v>814</v>
      </c>
      <c r="H119">
        <v>20</v>
      </c>
      <c r="L119" s="4"/>
      <c r="M119" s="4"/>
      <c r="N119" s="4"/>
    </row>
    <row r="120" spans="1:14" x14ac:dyDescent="0.25">
      <c r="A120" t="s">
        <v>702</v>
      </c>
      <c r="B120">
        <v>64</v>
      </c>
      <c r="C120" t="s">
        <v>3</v>
      </c>
      <c r="D120" t="s">
        <v>702</v>
      </c>
      <c r="E120" t="s">
        <v>702</v>
      </c>
      <c r="F120" t="s">
        <v>3</v>
      </c>
      <c r="G120" t="s">
        <v>815</v>
      </c>
      <c r="H120">
        <v>21</v>
      </c>
      <c r="L120" s="4"/>
      <c r="M120" s="4"/>
      <c r="N120" s="4"/>
    </row>
    <row r="121" spans="1:14" x14ac:dyDescent="0.25">
      <c r="A121" t="s">
        <v>703</v>
      </c>
      <c r="B121">
        <v>65</v>
      </c>
      <c r="C121" t="s">
        <v>178</v>
      </c>
      <c r="D121" t="s">
        <v>703</v>
      </c>
      <c r="E121" t="s">
        <v>703</v>
      </c>
      <c r="F121" t="s">
        <v>178</v>
      </c>
      <c r="G121" t="s">
        <v>816</v>
      </c>
      <c r="H121">
        <v>22</v>
      </c>
      <c r="L121" s="4"/>
      <c r="M121" s="4"/>
      <c r="N121" s="4"/>
    </row>
    <row r="122" spans="1:14" x14ac:dyDescent="0.25">
      <c r="A122" t="s">
        <v>704</v>
      </c>
      <c r="B122">
        <v>66</v>
      </c>
      <c r="C122" t="s">
        <v>179</v>
      </c>
      <c r="D122" t="s">
        <v>704</v>
      </c>
      <c r="E122" t="s">
        <v>704</v>
      </c>
      <c r="F122" t="s">
        <v>179</v>
      </c>
      <c r="G122" t="s">
        <v>817</v>
      </c>
      <c r="H122">
        <v>23</v>
      </c>
      <c r="L122" s="4"/>
      <c r="M122" s="4"/>
      <c r="N122" s="4"/>
    </row>
    <row r="123" spans="1:14" x14ac:dyDescent="0.25">
      <c r="A123" t="s">
        <v>705</v>
      </c>
      <c r="B123">
        <v>67</v>
      </c>
      <c r="C123" t="s">
        <v>180</v>
      </c>
      <c r="D123" t="s">
        <v>705</v>
      </c>
      <c r="E123" t="s">
        <v>705</v>
      </c>
      <c r="F123" t="s">
        <v>180</v>
      </c>
      <c r="G123" t="s">
        <v>818</v>
      </c>
      <c r="H123">
        <v>24</v>
      </c>
      <c r="L123" s="4"/>
      <c r="M123" s="4"/>
      <c r="N123" s="4"/>
    </row>
    <row r="124" spans="1:14" x14ac:dyDescent="0.25">
      <c r="A124" t="s">
        <v>706</v>
      </c>
      <c r="B124">
        <v>68</v>
      </c>
      <c r="C124" t="s">
        <v>4</v>
      </c>
      <c r="D124" t="s">
        <v>706</v>
      </c>
      <c r="E124" t="s">
        <v>706</v>
      </c>
      <c r="F124" t="s">
        <v>4</v>
      </c>
      <c r="G124" t="s">
        <v>819</v>
      </c>
      <c r="H124">
        <v>25</v>
      </c>
      <c r="L124" s="4"/>
      <c r="M124" s="4"/>
      <c r="N124" s="4"/>
    </row>
    <row r="125" spans="1:14" x14ac:dyDescent="0.25">
      <c r="A125" t="s">
        <v>707</v>
      </c>
      <c r="B125">
        <v>69</v>
      </c>
      <c r="C125" t="s">
        <v>5</v>
      </c>
      <c r="D125" t="s">
        <v>707</v>
      </c>
      <c r="E125" t="s">
        <v>707</v>
      </c>
      <c r="F125" t="s">
        <v>5</v>
      </c>
      <c r="G125" t="s">
        <v>820</v>
      </c>
      <c r="H125">
        <v>26</v>
      </c>
      <c r="L125" s="4"/>
      <c r="M125" s="4"/>
      <c r="N125" s="4"/>
    </row>
    <row r="126" spans="1:14" x14ac:dyDescent="0.25">
      <c r="A126" t="s">
        <v>708</v>
      </c>
      <c r="B126">
        <v>70</v>
      </c>
      <c r="C126" t="s">
        <v>181</v>
      </c>
      <c r="D126" t="s">
        <v>708</v>
      </c>
      <c r="E126" t="s">
        <v>708</v>
      </c>
      <c r="F126" t="s">
        <v>181</v>
      </c>
      <c r="G126" t="s">
        <v>821</v>
      </c>
      <c r="H126">
        <v>27</v>
      </c>
      <c r="L126" s="4"/>
      <c r="M126" s="4"/>
      <c r="N126" s="4"/>
    </row>
    <row r="127" spans="1:14" x14ac:dyDescent="0.25">
      <c r="A127" t="s">
        <v>709</v>
      </c>
      <c r="B127">
        <v>71</v>
      </c>
      <c r="C127" t="s">
        <v>6</v>
      </c>
      <c r="D127" t="s">
        <v>709</v>
      </c>
      <c r="E127" t="s">
        <v>709</v>
      </c>
      <c r="F127" t="s">
        <v>6</v>
      </c>
      <c r="G127" t="s">
        <v>822</v>
      </c>
      <c r="H127">
        <v>28</v>
      </c>
      <c r="L127" s="4"/>
      <c r="M127" s="4"/>
      <c r="N127" s="4"/>
    </row>
    <row r="128" spans="1:14" x14ac:dyDescent="0.25">
      <c r="A128" t="s">
        <v>710</v>
      </c>
      <c r="B128">
        <v>72</v>
      </c>
      <c r="C128" t="s">
        <v>7</v>
      </c>
      <c r="D128" t="s">
        <v>710</v>
      </c>
      <c r="E128" t="s">
        <v>710</v>
      </c>
      <c r="F128" t="s">
        <v>7</v>
      </c>
      <c r="G128" t="s">
        <v>823</v>
      </c>
      <c r="H128">
        <v>29</v>
      </c>
      <c r="L128" s="4"/>
      <c r="M128" s="4"/>
      <c r="N128" s="4"/>
    </row>
    <row r="129" spans="1:14" x14ac:dyDescent="0.25">
      <c r="A129" t="s">
        <v>711</v>
      </c>
      <c r="B129">
        <v>73</v>
      </c>
      <c r="C129" t="s">
        <v>8</v>
      </c>
      <c r="D129" t="s">
        <v>711</v>
      </c>
      <c r="E129" t="s">
        <v>711</v>
      </c>
      <c r="F129" t="s">
        <v>8</v>
      </c>
      <c r="G129" t="s">
        <v>824</v>
      </c>
      <c r="H129">
        <v>30</v>
      </c>
      <c r="L129" s="4"/>
      <c r="M129" s="4"/>
      <c r="N129" s="4"/>
    </row>
    <row r="130" spans="1:14" x14ac:dyDescent="0.25">
      <c r="A130" t="s">
        <v>712</v>
      </c>
      <c r="B130">
        <v>74</v>
      </c>
      <c r="C130" t="s">
        <v>9</v>
      </c>
      <c r="D130" t="s">
        <v>712</v>
      </c>
      <c r="E130" t="s">
        <v>712</v>
      </c>
      <c r="F130" t="s">
        <v>9</v>
      </c>
      <c r="G130" t="s">
        <v>825</v>
      </c>
      <c r="H130">
        <v>31</v>
      </c>
      <c r="L130" s="4"/>
      <c r="M130" s="4"/>
      <c r="N130" s="4"/>
    </row>
    <row r="131" spans="1:14" x14ac:dyDescent="0.25">
      <c r="A131" t="s">
        <v>713</v>
      </c>
      <c r="B131">
        <v>75</v>
      </c>
      <c r="C131" t="s">
        <v>182</v>
      </c>
      <c r="D131" t="s">
        <v>713</v>
      </c>
      <c r="E131" t="s">
        <v>713</v>
      </c>
      <c r="F131" t="s">
        <v>182</v>
      </c>
      <c r="G131" t="s">
        <v>826</v>
      </c>
      <c r="H131">
        <v>32</v>
      </c>
      <c r="L131" s="4"/>
      <c r="M131" s="4"/>
      <c r="N131" s="4"/>
    </row>
    <row r="132" spans="1:14" x14ac:dyDescent="0.25">
      <c r="A132" t="s">
        <v>714</v>
      </c>
      <c r="B132">
        <v>76</v>
      </c>
      <c r="C132" t="s">
        <v>183</v>
      </c>
      <c r="D132" t="s">
        <v>714</v>
      </c>
      <c r="E132" t="s">
        <v>714</v>
      </c>
      <c r="F132" t="s">
        <v>183</v>
      </c>
      <c r="G132" t="s">
        <v>827</v>
      </c>
      <c r="H132">
        <v>33</v>
      </c>
      <c r="L132" s="4"/>
      <c r="M132" s="4"/>
      <c r="N132" s="4"/>
    </row>
    <row r="133" spans="1:14" x14ac:dyDescent="0.25">
      <c r="A133" t="s">
        <v>715</v>
      </c>
      <c r="B133">
        <v>77</v>
      </c>
      <c r="C133" t="s">
        <v>184</v>
      </c>
      <c r="D133" t="s">
        <v>715</v>
      </c>
      <c r="E133" t="s">
        <v>715</v>
      </c>
      <c r="F133" t="s">
        <v>184</v>
      </c>
      <c r="G133" t="s">
        <v>828</v>
      </c>
      <c r="H133">
        <v>34</v>
      </c>
      <c r="L133" s="4"/>
      <c r="M133" s="4"/>
      <c r="N133" s="4"/>
    </row>
    <row r="134" spans="1:14" x14ac:dyDescent="0.25">
      <c r="A134" t="s">
        <v>716</v>
      </c>
      <c r="B134">
        <v>78</v>
      </c>
      <c r="C134" t="s">
        <v>14</v>
      </c>
      <c r="D134" t="s">
        <v>716</v>
      </c>
      <c r="E134" t="s">
        <v>716</v>
      </c>
      <c r="F134" t="s">
        <v>14</v>
      </c>
      <c r="G134" t="s">
        <v>829</v>
      </c>
      <c r="H134">
        <v>35</v>
      </c>
      <c r="L134" s="4"/>
      <c r="M134" s="4"/>
      <c r="N134" s="4"/>
    </row>
    <row r="135" spans="1:14" x14ac:dyDescent="0.25">
      <c r="A135" t="s">
        <v>717</v>
      </c>
      <c r="B135">
        <v>79</v>
      </c>
      <c r="C135" t="s">
        <v>10</v>
      </c>
      <c r="D135" t="s">
        <v>717</v>
      </c>
      <c r="E135" t="s">
        <v>717</v>
      </c>
      <c r="F135" t="s">
        <v>10</v>
      </c>
      <c r="G135" t="s">
        <v>830</v>
      </c>
      <c r="H135">
        <v>36</v>
      </c>
      <c r="L135" s="4"/>
      <c r="M135" s="4"/>
      <c r="N135" s="4"/>
    </row>
    <row r="136" spans="1:14" x14ac:dyDescent="0.25">
      <c r="A136" t="s">
        <v>718</v>
      </c>
      <c r="B136">
        <v>80</v>
      </c>
      <c r="C136" t="s">
        <v>11</v>
      </c>
      <c r="D136" t="s">
        <v>718</v>
      </c>
      <c r="E136" t="s">
        <v>718</v>
      </c>
      <c r="F136" t="s">
        <v>11</v>
      </c>
      <c r="G136" t="s">
        <v>921</v>
      </c>
      <c r="H136">
        <v>37</v>
      </c>
      <c r="L136" s="4"/>
      <c r="M136" s="4"/>
      <c r="N136" s="4"/>
    </row>
    <row r="137" spans="1:14" x14ac:dyDescent="0.25">
      <c r="A137" t="s">
        <v>719</v>
      </c>
      <c r="B137">
        <v>81</v>
      </c>
      <c r="C137" t="s">
        <v>185</v>
      </c>
      <c r="D137" t="s">
        <v>719</v>
      </c>
      <c r="E137" t="s">
        <v>719</v>
      </c>
      <c r="F137" t="s">
        <v>185</v>
      </c>
      <c r="G137" t="s">
        <v>832</v>
      </c>
      <c r="H137">
        <v>38</v>
      </c>
      <c r="L137" s="4"/>
      <c r="M137" s="4"/>
      <c r="N137" s="4"/>
    </row>
    <row r="138" spans="1:14" x14ac:dyDescent="0.25">
      <c r="A138" t="s">
        <v>720</v>
      </c>
      <c r="B138">
        <v>82</v>
      </c>
      <c r="C138" t="s">
        <v>186</v>
      </c>
      <c r="D138" t="s">
        <v>720</v>
      </c>
      <c r="E138" t="s">
        <v>720</v>
      </c>
      <c r="F138" t="s">
        <v>186</v>
      </c>
      <c r="G138" t="s">
        <v>833</v>
      </c>
      <c r="H138">
        <v>39</v>
      </c>
      <c r="L138" s="4"/>
      <c r="M138" s="4"/>
      <c r="N138" s="4"/>
    </row>
    <row r="139" spans="1:14" x14ac:dyDescent="0.25">
      <c r="A139" t="s">
        <v>721</v>
      </c>
      <c r="B139">
        <v>83</v>
      </c>
      <c r="C139" t="s">
        <v>187</v>
      </c>
      <c r="D139" t="s">
        <v>721</v>
      </c>
      <c r="E139" t="s">
        <v>721</v>
      </c>
      <c r="F139" t="s">
        <v>187</v>
      </c>
      <c r="G139" t="s">
        <v>922</v>
      </c>
      <c r="H139">
        <v>40</v>
      </c>
      <c r="L139" s="4"/>
      <c r="M139" s="4"/>
      <c r="N139" s="4"/>
    </row>
    <row r="140" spans="1:14" x14ac:dyDescent="0.25">
      <c r="A140" t="s">
        <v>453</v>
      </c>
      <c r="B140">
        <v>84</v>
      </c>
      <c r="C140" t="s">
        <v>453</v>
      </c>
      <c r="D140" t="s">
        <v>454</v>
      </c>
      <c r="E140" t="s">
        <v>454</v>
      </c>
      <c r="F140" t="s">
        <v>191</v>
      </c>
      <c r="G140" t="s">
        <v>191</v>
      </c>
      <c r="H140">
        <v>41</v>
      </c>
      <c r="L140" s="4"/>
      <c r="M140" s="4"/>
      <c r="N140" s="4"/>
    </row>
    <row r="141" spans="1:14" x14ac:dyDescent="0.25">
      <c r="A141" t="s">
        <v>455</v>
      </c>
      <c r="B141">
        <v>85</v>
      </c>
      <c r="C141" t="s">
        <v>455</v>
      </c>
      <c r="D141" t="s">
        <v>456</v>
      </c>
      <c r="E141" t="s">
        <v>456</v>
      </c>
      <c r="F141" t="s">
        <v>191</v>
      </c>
      <c r="G141" t="s">
        <v>191</v>
      </c>
      <c r="H141">
        <v>41</v>
      </c>
      <c r="L141" s="4"/>
      <c r="M141" s="4"/>
      <c r="N141" s="4"/>
    </row>
    <row r="142" spans="1:14" x14ac:dyDescent="0.25">
      <c r="A142" t="s">
        <v>457</v>
      </c>
      <c r="B142">
        <v>85</v>
      </c>
      <c r="C142" t="s">
        <v>455</v>
      </c>
      <c r="D142" t="s">
        <v>456</v>
      </c>
      <c r="E142" t="s">
        <v>458</v>
      </c>
      <c r="F142" t="s">
        <v>191</v>
      </c>
      <c r="G142" t="s">
        <v>191</v>
      </c>
      <c r="H142">
        <v>41</v>
      </c>
      <c r="L142" s="4"/>
      <c r="M142" s="4"/>
      <c r="N142" s="4"/>
    </row>
    <row r="143" spans="1:14" x14ac:dyDescent="0.25">
      <c r="A143" t="s">
        <v>459</v>
      </c>
      <c r="B143">
        <v>86</v>
      </c>
      <c r="C143" t="s">
        <v>460</v>
      </c>
      <c r="D143" t="s">
        <v>461</v>
      </c>
      <c r="E143" t="s">
        <v>462</v>
      </c>
      <c r="F143" t="s">
        <v>191</v>
      </c>
      <c r="G143" t="s">
        <v>191</v>
      </c>
      <c r="H143">
        <v>41</v>
      </c>
      <c r="L143" s="4"/>
      <c r="M143" s="4"/>
      <c r="N143" s="4"/>
    </row>
    <row r="144" spans="1:14" x14ac:dyDescent="0.25">
      <c r="A144" t="s">
        <v>463</v>
      </c>
      <c r="B144">
        <v>86</v>
      </c>
      <c r="C144" t="s">
        <v>460</v>
      </c>
      <c r="D144" t="s">
        <v>461</v>
      </c>
      <c r="E144" t="s">
        <v>464</v>
      </c>
      <c r="F144" t="s">
        <v>191</v>
      </c>
      <c r="G144" t="s">
        <v>191</v>
      </c>
      <c r="H144">
        <v>41</v>
      </c>
      <c r="L144" s="4"/>
      <c r="M144" s="4"/>
      <c r="N144" s="4"/>
    </row>
    <row r="145" spans="1:14" x14ac:dyDescent="0.25">
      <c r="A145" t="s">
        <v>465</v>
      </c>
      <c r="B145">
        <v>87</v>
      </c>
      <c r="C145" t="s">
        <v>465</v>
      </c>
      <c r="D145" t="s">
        <v>466</v>
      </c>
      <c r="E145" t="s">
        <v>466</v>
      </c>
      <c r="F145" t="s">
        <v>191</v>
      </c>
      <c r="G145" t="s">
        <v>191</v>
      </c>
      <c r="H145">
        <v>41</v>
      </c>
      <c r="L145" s="4"/>
      <c r="M145" s="4"/>
      <c r="N145" s="4"/>
    </row>
    <row r="146" spans="1:14" x14ac:dyDescent="0.25">
      <c r="A146" t="s">
        <v>467</v>
      </c>
      <c r="B146">
        <v>88</v>
      </c>
      <c r="C146" t="s">
        <v>467</v>
      </c>
      <c r="D146" t="s">
        <v>468</v>
      </c>
      <c r="E146" t="s">
        <v>468</v>
      </c>
      <c r="F146" t="s">
        <v>191</v>
      </c>
      <c r="G146" t="s">
        <v>191</v>
      </c>
      <c r="H146">
        <v>41</v>
      </c>
      <c r="L146" s="4"/>
      <c r="M146" s="4"/>
      <c r="N146" s="4"/>
    </row>
    <row r="147" spans="1:14" x14ac:dyDescent="0.25">
      <c r="A147" t="s">
        <v>469</v>
      </c>
      <c r="B147">
        <v>89</v>
      </c>
      <c r="C147" t="s">
        <v>469</v>
      </c>
      <c r="D147" t="s">
        <v>470</v>
      </c>
      <c r="E147" t="s">
        <v>470</v>
      </c>
      <c r="F147" t="s">
        <v>15</v>
      </c>
      <c r="G147" t="s">
        <v>471</v>
      </c>
      <c r="H147">
        <v>42</v>
      </c>
      <c r="L147" s="4"/>
      <c r="M147" s="4"/>
      <c r="N147" s="4"/>
    </row>
    <row r="148" spans="1:14" x14ac:dyDescent="0.25">
      <c r="A148" t="s">
        <v>472</v>
      </c>
      <c r="B148">
        <v>90</v>
      </c>
      <c r="C148" t="s">
        <v>472</v>
      </c>
      <c r="D148" t="s">
        <v>473</v>
      </c>
      <c r="E148" t="s">
        <v>473</v>
      </c>
      <c r="F148" t="s">
        <v>15</v>
      </c>
      <c r="G148" t="s">
        <v>471</v>
      </c>
      <c r="H148">
        <v>42</v>
      </c>
      <c r="L148" s="4"/>
      <c r="M148" s="4"/>
      <c r="N148" s="4"/>
    </row>
    <row r="149" spans="1:14" x14ac:dyDescent="0.25">
      <c r="A149" t="s">
        <v>474</v>
      </c>
      <c r="B149">
        <v>91</v>
      </c>
      <c r="C149" t="s">
        <v>474</v>
      </c>
      <c r="D149" t="s">
        <v>475</v>
      </c>
      <c r="E149" t="s">
        <v>475</v>
      </c>
      <c r="F149" t="s">
        <v>15</v>
      </c>
      <c r="G149" t="s">
        <v>471</v>
      </c>
      <c r="H149">
        <v>42</v>
      </c>
      <c r="L149" s="4"/>
      <c r="M149" s="4"/>
      <c r="N149" s="4"/>
    </row>
    <row r="150" spans="1:14" x14ac:dyDescent="0.25">
      <c r="A150" t="s">
        <v>476</v>
      </c>
      <c r="B150">
        <v>92</v>
      </c>
      <c r="C150" t="s">
        <v>477</v>
      </c>
      <c r="D150" t="s">
        <v>478</v>
      </c>
      <c r="E150" t="s">
        <v>479</v>
      </c>
      <c r="F150" t="s">
        <v>191</v>
      </c>
      <c r="G150" t="s">
        <v>191</v>
      </c>
      <c r="H150">
        <v>41</v>
      </c>
      <c r="L150" s="4"/>
      <c r="M150" s="4"/>
      <c r="N150" s="4"/>
    </row>
    <row r="151" spans="1:14" x14ac:dyDescent="0.25">
      <c r="A151" t="s">
        <v>480</v>
      </c>
      <c r="B151">
        <v>93</v>
      </c>
      <c r="C151" t="s">
        <v>481</v>
      </c>
      <c r="D151" t="s">
        <v>482</v>
      </c>
      <c r="E151" t="s">
        <v>483</v>
      </c>
      <c r="F151" t="s">
        <v>191</v>
      </c>
      <c r="G151" t="s">
        <v>191</v>
      </c>
      <c r="H151">
        <v>41</v>
      </c>
      <c r="L151" s="4"/>
      <c r="M151" s="4"/>
      <c r="N151" s="4"/>
    </row>
    <row r="152" spans="1:14" x14ac:dyDescent="0.25">
      <c r="A152" t="s">
        <v>484</v>
      </c>
      <c r="B152">
        <v>93</v>
      </c>
      <c r="C152" t="s">
        <v>481</v>
      </c>
      <c r="D152" t="s">
        <v>482</v>
      </c>
      <c r="E152" t="s">
        <v>485</v>
      </c>
      <c r="F152" t="s">
        <v>191</v>
      </c>
      <c r="G152" t="s">
        <v>191</v>
      </c>
      <c r="H152">
        <v>41</v>
      </c>
      <c r="L152" s="4"/>
      <c r="M152" s="4"/>
      <c r="N152" s="4"/>
    </row>
    <row r="153" spans="1:14" x14ac:dyDescent="0.25">
      <c r="A153" t="s">
        <v>486</v>
      </c>
      <c r="B153">
        <v>93</v>
      </c>
      <c r="C153" t="s">
        <v>481</v>
      </c>
      <c r="D153" t="s">
        <v>482</v>
      </c>
      <c r="E153" t="s">
        <v>487</v>
      </c>
      <c r="F153" t="s">
        <v>191</v>
      </c>
      <c r="G153" t="s">
        <v>191</v>
      </c>
      <c r="H153">
        <v>41</v>
      </c>
      <c r="L153" s="4"/>
      <c r="M153" s="4"/>
      <c r="N153" s="4"/>
    </row>
    <row r="154" spans="1:14" x14ac:dyDescent="0.25">
      <c r="A154" t="s">
        <v>488</v>
      </c>
      <c r="B154">
        <v>93</v>
      </c>
      <c r="C154" t="s">
        <v>481</v>
      </c>
      <c r="D154" t="s">
        <v>482</v>
      </c>
      <c r="E154" t="s">
        <v>489</v>
      </c>
      <c r="F154" t="s">
        <v>191</v>
      </c>
      <c r="G154" t="s">
        <v>191</v>
      </c>
      <c r="H154">
        <v>41</v>
      </c>
      <c r="L154" s="4"/>
      <c r="M154" s="4"/>
      <c r="N154" s="4"/>
    </row>
    <row r="155" spans="1:14" x14ac:dyDescent="0.25">
      <c r="A155" t="s">
        <v>490</v>
      </c>
      <c r="B155">
        <v>93</v>
      </c>
      <c r="C155" t="s">
        <v>481</v>
      </c>
      <c r="D155" t="s">
        <v>482</v>
      </c>
      <c r="E155" t="s">
        <v>491</v>
      </c>
      <c r="F155" t="s">
        <v>191</v>
      </c>
      <c r="G155" t="s">
        <v>191</v>
      </c>
      <c r="H155">
        <v>41</v>
      </c>
      <c r="L155" s="4"/>
      <c r="M155" s="4"/>
      <c r="N155" s="4"/>
    </row>
    <row r="156" spans="1:14" x14ac:dyDescent="0.25">
      <c r="A156" t="s">
        <v>492</v>
      </c>
      <c r="B156">
        <v>93</v>
      </c>
      <c r="C156" t="s">
        <v>481</v>
      </c>
      <c r="D156" t="s">
        <v>482</v>
      </c>
      <c r="E156" t="s">
        <v>493</v>
      </c>
      <c r="F156" t="s">
        <v>191</v>
      </c>
      <c r="G156" t="s">
        <v>191</v>
      </c>
      <c r="H156">
        <v>41</v>
      </c>
      <c r="L156" s="4"/>
      <c r="M156" s="4"/>
      <c r="N156" s="4"/>
    </row>
    <row r="157" spans="1:14" x14ac:dyDescent="0.25">
      <c r="A157" t="s">
        <v>494</v>
      </c>
      <c r="B157">
        <v>93</v>
      </c>
      <c r="C157" t="s">
        <v>481</v>
      </c>
      <c r="D157" t="s">
        <v>482</v>
      </c>
      <c r="E157" t="s">
        <v>495</v>
      </c>
      <c r="F157" t="s">
        <v>191</v>
      </c>
      <c r="G157" t="s">
        <v>191</v>
      </c>
      <c r="H157">
        <v>41</v>
      </c>
      <c r="L157" s="4"/>
      <c r="M157" s="4"/>
      <c r="N157" s="4"/>
    </row>
    <row r="158" spans="1:14" x14ac:dyDescent="0.25">
      <c r="A158" t="s">
        <v>496</v>
      </c>
      <c r="B158">
        <v>93</v>
      </c>
      <c r="C158" t="s">
        <v>481</v>
      </c>
      <c r="D158" t="s">
        <v>482</v>
      </c>
      <c r="E158" t="s">
        <v>497</v>
      </c>
      <c r="F158" t="s">
        <v>191</v>
      </c>
      <c r="G158" t="s">
        <v>191</v>
      </c>
      <c r="H158">
        <v>41</v>
      </c>
      <c r="L158" s="4"/>
      <c r="M158" s="4"/>
      <c r="N158" s="4"/>
    </row>
    <row r="159" spans="1:14" x14ac:dyDescent="0.25">
      <c r="A159" t="s">
        <v>498</v>
      </c>
      <c r="B159">
        <v>93</v>
      </c>
      <c r="C159" t="s">
        <v>481</v>
      </c>
      <c r="D159" t="s">
        <v>482</v>
      </c>
      <c r="E159" t="s">
        <v>499</v>
      </c>
      <c r="F159" t="s">
        <v>191</v>
      </c>
      <c r="G159" t="s">
        <v>191</v>
      </c>
      <c r="H159">
        <v>41</v>
      </c>
      <c r="L159" s="4"/>
      <c r="M159" s="4"/>
      <c r="N159" s="4"/>
    </row>
    <row r="160" spans="1:14" x14ac:dyDescent="0.25">
      <c r="A160" t="s">
        <v>500</v>
      </c>
      <c r="B160">
        <v>93</v>
      </c>
      <c r="C160" t="s">
        <v>481</v>
      </c>
      <c r="D160" t="s">
        <v>482</v>
      </c>
      <c r="E160" t="s">
        <v>501</v>
      </c>
      <c r="F160" t="s">
        <v>191</v>
      </c>
      <c r="G160" t="s">
        <v>191</v>
      </c>
      <c r="H160">
        <v>41</v>
      </c>
      <c r="L160" s="4"/>
      <c r="M160" s="4"/>
      <c r="N160" s="4"/>
    </row>
    <row r="161" spans="1:14" x14ac:dyDescent="0.25">
      <c r="A161" t="s">
        <v>502</v>
      </c>
      <c r="B161">
        <v>93</v>
      </c>
      <c r="C161" t="s">
        <v>481</v>
      </c>
      <c r="D161" t="s">
        <v>482</v>
      </c>
      <c r="E161" t="s">
        <v>503</v>
      </c>
      <c r="F161" t="s">
        <v>191</v>
      </c>
      <c r="G161" t="s">
        <v>191</v>
      </c>
      <c r="H161">
        <v>41</v>
      </c>
      <c r="L161" s="4"/>
      <c r="M161" s="4"/>
      <c r="N161" s="4"/>
    </row>
    <row r="162" spans="1:14" x14ac:dyDescent="0.25">
      <c r="A162" t="s">
        <v>504</v>
      </c>
      <c r="B162">
        <v>93</v>
      </c>
      <c r="C162" t="s">
        <v>481</v>
      </c>
      <c r="D162" t="s">
        <v>482</v>
      </c>
      <c r="E162" t="s">
        <v>505</v>
      </c>
      <c r="F162" t="s">
        <v>191</v>
      </c>
      <c r="G162" t="s">
        <v>191</v>
      </c>
      <c r="H162">
        <v>41</v>
      </c>
      <c r="L162" s="4"/>
      <c r="M162" s="4"/>
      <c r="N162" s="4"/>
    </row>
    <row r="163" spans="1:14" x14ac:dyDescent="0.25">
      <c r="A163" t="s">
        <v>506</v>
      </c>
      <c r="B163">
        <v>93</v>
      </c>
      <c r="C163" t="s">
        <v>481</v>
      </c>
      <c r="D163" t="s">
        <v>482</v>
      </c>
      <c r="E163" t="s">
        <v>507</v>
      </c>
      <c r="F163" t="s">
        <v>191</v>
      </c>
      <c r="G163" t="s">
        <v>191</v>
      </c>
      <c r="H163">
        <v>41</v>
      </c>
      <c r="L163" s="4"/>
      <c r="M163" s="4"/>
      <c r="N163" s="4"/>
    </row>
    <row r="164" spans="1:14" x14ac:dyDescent="0.25">
      <c r="A164" t="s">
        <v>508</v>
      </c>
      <c r="B164">
        <v>93</v>
      </c>
      <c r="C164" t="s">
        <v>481</v>
      </c>
      <c r="D164" t="s">
        <v>482</v>
      </c>
      <c r="E164" t="s">
        <v>509</v>
      </c>
      <c r="F164" t="s">
        <v>191</v>
      </c>
      <c r="G164" t="s">
        <v>191</v>
      </c>
      <c r="H164">
        <v>41</v>
      </c>
      <c r="L164" s="4"/>
      <c r="M164" s="4"/>
      <c r="N164" s="4"/>
    </row>
    <row r="165" spans="1:14" x14ac:dyDescent="0.25">
      <c r="A165" t="s">
        <v>510</v>
      </c>
      <c r="B165">
        <v>94</v>
      </c>
      <c r="C165" t="s">
        <v>510</v>
      </c>
      <c r="D165" t="s">
        <v>511</v>
      </c>
      <c r="E165" t="s">
        <v>511</v>
      </c>
      <c r="F165" t="s">
        <v>15</v>
      </c>
      <c r="G165" t="s">
        <v>471</v>
      </c>
      <c r="H165">
        <v>42</v>
      </c>
    </row>
    <row r="166" spans="1:14" x14ac:dyDescent="0.25">
      <c r="A166" t="s">
        <v>512</v>
      </c>
      <c r="B166">
        <v>95</v>
      </c>
      <c r="C166" t="s">
        <v>512</v>
      </c>
      <c r="D166" t="s">
        <v>513</v>
      </c>
      <c r="E166" t="s">
        <v>513</v>
      </c>
      <c r="F166" t="s">
        <v>15</v>
      </c>
      <c r="G166" t="s">
        <v>471</v>
      </c>
      <c r="H166">
        <v>42</v>
      </c>
    </row>
    <row r="167" spans="1:14" x14ac:dyDescent="0.25">
      <c r="A167" t="s">
        <v>514</v>
      </c>
      <c r="B167">
        <v>96</v>
      </c>
      <c r="C167" t="s">
        <v>514</v>
      </c>
      <c r="D167" t="s">
        <v>515</v>
      </c>
      <c r="E167" t="s">
        <v>515</v>
      </c>
      <c r="F167" t="s">
        <v>15</v>
      </c>
      <c r="G167" t="s">
        <v>471</v>
      </c>
      <c r="H167">
        <v>42</v>
      </c>
    </row>
    <row r="168" spans="1:14" x14ac:dyDescent="0.25">
      <c r="A168" t="s">
        <v>516</v>
      </c>
      <c r="B168">
        <v>97</v>
      </c>
      <c r="C168" t="s">
        <v>516</v>
      </c>
      <c r="D168" t="s">
        <v>517</v>
      </c>
      <c r="E168" t="s">
        <v>517</v>
      </c>
      <c r="F168" t="s">
        <v>15</v>
      </c>
      <c r="G168" t="s">
        <v>471</v>
      </c>
      <c r="H168">
        <v>42</v>
      </c>
    </row>
    <row r="169" spans="1:14" x14ac:dyDescent="0.25">
      <c r="A169" t="s">
        <v>518</v>
      </c>
      <c r="B169">
        <v>98</v>
      </c>
      <c r="C169" t="s">
        <v>519</v>
      </c>
      <c r="D169" t="s">
        <v>520</v>
      </c>
      <c r="E169" t="s">
        <v>521</v>
      </c>
      <c r="F169" t="s">
        <v>15</v>
      </c>
      <c r="G169" t="s">
        <v>471</v>
      </c>
      <c r="H169">
        <v>42</v>
      </c>
    </row>
    <row r="170" spans="1:14" x14ac:dyDescent="0.25">
      <c r="A170" t="s">
        <v>522</v>
      </c>
      <c r="B170">
        <v>99</v>
      </c>
      <c r="C170" t="s">
        <v>522</v>
      </c>
      <c r="D170" t="s">
        <v>523</v>
      </c>
      <c r="E170" t="s">
        <v>523</v>
      </c>
      <c r="F170" t="s">
        <v>15</v>
      </c>
      <c r="G170" t="s">
        <v>471</v>
      </c>
      <c r="H170">
        <v>42</v>
      </c>
    </row>
    <row r="171" spans="1:14" x14ac:dyDescent="0.25">
      <c r="A171" t="s">
        <v>524</v>
      </c>
      <c r="B171">
        <v>100</v>
      </c>
      <c r="C171" t="s">
        <v>524</v>
      </c>
      <c r="D171" t="s">
        <v>525</v>
      </c>
      <c r="E171" t="s">
        <v>525</v>
      </c>
      <c r="F171" t="s">
        <v>15</v>
      </c>
      <c r="G171" t="s">
        <v>471</v>
      </c>
      <c r="H171">
        <v>42</v>
      </c>
    </row>
    <row r="172" spans="1:14" x14ac:dyDescent="0.25">
      <c r="A172" t="s">
        <v>526</v>
      </c>
      <c r="B172">
        <v>101</v>
      </c>
      <c r="C172" t="s">
        <v>526</v>
      </c>
      <c r="D172" t="s">
        <v>527</v>
      </c>
      <c r="E172" t="s">
        <v>527</v>
      </c>
      <c r="F172" t="s">
        <v>15</v>
      </c>
      <c r="G172" t="s">
        <v>471</v>
      </c>
      <c r="H172">
        <v>42</v>
      </c>
    </row>
    <row r="173" spans="1:14" x14ac:dyDescent="0.25">
      <c r="A173" t="s">
        <v>528</v>
      </c>
      <c r="B173">
        <v>102</v>
      </c>
      <c r="C173" t="s">
        <v>528</v>
      </c>
      <c r="D173" t="s">
        <v>529</v>
      </c>
      <c r="E173" t="s">
        <v>529</v>
      </c>
      <c r="F173" t="s">
        <v>196</v>
      </c>
      <c r="G173" t="s">
        <v>207</v>
      </c>
      <c r="H173">
        <v>43</v>
      </c>
    </row>
    <row r="174" spans="1:14" x14ac:dyDescent="0.25">
      <c r="A174" t="s">
        <v>530</v>
      </c>
      <c r="B174">
        <v>103</v>
      </c>
      <c r="C174" t="s">
        <v>530</v>
      </c>
      <c r="D174" t="s">
        <v>531</v>
      </c>
      <c r="E174" t="s">
        <v>531</v>
      </c>
      <c r="F174" t="s">
        <v>196</v>
      </c>
      <c r="G174" t="s">
        <v>207</v>
      </c>
      <c r="H174">
        <v>43</v>
      </c>
    </row>
    <row r="175" spans="1:14" x14ac:dyDescent="0.25">
      <c r="A175" t="s">
        <v>532</v>
      </c>
      <c r="B175">
        <v>104</v>
      </c>
      <c r="C175" t="s">
        <v>532</v>
      </c>
      <c r="D175" t="s">
        <v>533</v>
      </c>
      <c r="E175" t="s">
        <v>533</v>
      </c>
      <c r="F175" t="s">
        <v>196</v>
      </c>
      <c r="G175" t="s">
        <v>207</v>
      </c>
      <c r="H175">
        <v>43</v>
      </c>
    </row>
    <row r="176" spans="1:14" x14ac:dyDescent="0.25">
      <c r="A176" t="s">
        <v>534</v>
      </c>
      <c r="B176">
        <v>105</v>
      </c>
      <c r="C176" t="s">
        <v>534</v>
      </c>
      <c r="D176" t="s">
        <v>535</v>
      </c>
      <c r="E176" t="s">
        <v>535</v>
      </c>
      <c r="F176" t="s">
        <v>196</v>
      </c>
      <c r="G176" t="s">
        <v>207</v>
      </c>
      <c r="H176">
        <v>43</v>
      </c>
    </row>
    <row r="177" spans="1:8" x14ac:dyDescent="0.25">
      <c r="A177" t="s">
        <v>536</v>
      </c>
      <c r="B177">
        <v>106</v>
      </c>
      <c r="C177" t="s">
        <v>536</v>
      </c>
      <c r="D177" t="s">
        <v>537</v>
      </c>
      <c r="E177" t="s">
        <v>537</v>
      </c>
      <c r="F177" t="s">
        <v>196</v>
      </c>
      <c r="G177" t="s">
        <v>207</v>
      </c>
      <c r="H177">
        <v>43</v>
      </c>
    </row>
    <row r="178" spans="1:8" x14ac:dyDescent="0.25">
      <c r="A178" t="s">
        <v>538</v>
      </c>
      <c r="B178">
        <v>107</v>
      </c>
      <c r="C178" t="s">
        <v>538</v>
      </c>
      <c r="D178" t="s">
        <v>539</v>
      </c>
      <c r="E178" t="s">
        <v>539</v>
      </c>
      <c r="F178" t="s">
        <v>196</v>
      </c>
      <c r="G178" t="s">
        <v>207</v>
      </c>
      <c r="H178">
        <v>43</v>
      </c>
    </row>
    <row r="179" spans="1:8" x14ac:dyDescent="0.25">
      <c r="A179" t="s">
        <v>540</v>
      </c>
      <c r="B179">
        <v>108</v>
      </c>
      <c r="C179" t="s">
        <v>540</v>
      </c>
      <c r="D179" t="s">
        <v>541</v>
      </c>
      <c r="E179" t="s">
        <v>541</v>
      </c>
      <c r="F179" t="s">
        <v>196</v>
      </c>
      <c r="G179" t="s">
        <v>207</v>
      </c>
      <c r="H179">
        <v>43</v>
      </c>
    </row>
    <row r="180" spans="1:8" x14ac:dyDescent="0.25">
      <c r="A180" t="s">
        <v>542</v>
      </c>
      <c r="B180">
        <v>109</v>
      </c>
      <c r="C180" t="s">
        <v>542</v>
      </c>
      <c r="D180" t="s">
        <v>543</v>
      </c>
      <c r="E180" t="s">
        <v>543</v>
      </c>
      <c r="F180" t="s">
        <v>196</v>
      </c>
      <c r="G180" t="s">
        <v>207</v>
      </c>
      <c r="H180">
        <v>43</v>
      </c>
    </row>
    <row r="181" spans="1:8" x14ac:dyDescent="0.25">
      <c r="A181" t="s">
        <v>544</v>
      </c>
      <c r="B181">
        <v>110</v>
      </c>
      <c r="C181" t="s">
        <v>544</v>
      </c>
      <c r="D181" t="s">
        <v>545</v>
      </c>
      <c r="E181" t="s">
        <v>545</v>
      </c>
      <c r="F181" t="s">
        <v>196</v>
      </c>
      <c r="G181" t="s">
        <v>207</v>
      </c>
      <c r="H181">
        <v>43</v>
      </c>
    </row>
    <row r="182" spans="1:8" x14ac:dyDescent="0.25">
      <c r="A182" t="s">
        <v>546</v>
      </c>
      <c r="B182">
        <v>111</v>
      </c>
      <c r="C182" t="s">
        <v>546</v>
      </c>
      <c r="D182" t="s">
        <v>547</v>
      </c>
      <c r="E182" t="s">
        <v>547</v>
      </c>
      <c r="F182" t="s">
        <v>196</v>
      </c>
      <c r="G182" t="s">
        <v>207</v>
      </c>
      <c r="H182">
        <v>43</v>
      </c>
    </row>
    <row r="183" spans="1:8" x14ac:dyDescent="0.25">
      <c r="A183" t="s">
        <v>548</v>
      </c>
      <c r="B183">
        <v>112</v>
      </c>
      <c r="C183" t="s">
        <v>548</v>
      </c>
      <c r="D183" t="s">
        <v>549</v>
      </c>
      <c r="E183" t="s">
        <v>549</v>
      </c>
      <c r="F183" t="s">
        <v>196</v>
      </c>
      <c r="G183" t="s">
        <v>207</v>
      </c>
      <c r="H183">
        <v>43</v>
      </c>
    </row>
    <row r="184" spans="1:8" x14ac:dyDescent="0.25">
      <c r="A184" t="s">
        <v>550</v>
      </c>
      <c r="B184">
        <v>113</v>
      </c>
      <c r="C184" t="s">
        <v>550</v>
      </c>
      <c r="D184" t="s">
        <v>551</v>
      </c>
      <c r="E184" t="s">
        <v>551</v>
      </c>
      <c r="F184" t="s">
        <v>196</v>
      </c>
      <c r="G184" t="s">
        <v>207</v>
      </c>
      <c r="H184">
        <v>43</v>
      </c>
    </row>
    <row r="185" spans="1:8" x14ac:dyDescent="0.25">
      <c r="A185" t="s">
        <v>552</v>
      </c>
      <c r="B185">
        <v>114</v>
      </c>
      <c r="C185" t="s">
        <v>552</v>
      </c>
      <c r="D185" t="s">
        <v>553</v>
      </c>
      <c r="E185" t="s">
        <v>553</v>
      </c>
      <c r="F185" t="s">
        <v>196</v>
      </c>
      <c r="G185" t="s">
        <v>207</v>
      </c>
      <c r="H185">
        <v>43</v>
      </c>
    </row>
    <row r="186" spans="1:8" x14ac:dyDescent="0.25">
      <c r="A186" t="s">
        <v>554</v>
      </c>
      <c r="B186">
        <v>115</v>
      </c>
      <c r="C186" t="s">
        <v>554</v>
      </c>
      <c r="D186" t="s">
        <v>555</v>
      </c>
      <c r="E186" t="s">
        <v>555</v>
      </c>
      <c r="F186" t="s">
        <v>196</v>
      </c>
      <c r="G186" t="s">
        <v>207</v>
      </c>
      <c r="H186">
        <v>43</v>
      </c>
    </row>
    <row r="187" spans="1:8" x14ac:dyDescent="0.25">
      <c r="A187" t="s">
        <v>556</v>
      </c>
      <c r="B187">
        <v>116</v>
      </c>
      <c r="C187" t="s">
        <v>557</v>
      </c>
      <c r="D187" t="s">
        <v>558</v>
      </c>
      <c r="E187" t="s">
        <v>559</v>
      </c>
      <c r="F187" t="s">
        <v>196</v>
      </c>
      <c r="G187" t="s">
        <v>207</v>
      </c>
      <c r="H187">
        <v>43</v>
      </c>
    </row>
    <row r="188" spans="1:8" x14ac:dyDescent="0.25">
      <c r="A188" t="s">
        <v>560</v>
      </c>
      <c r="B188">
        <v>117</v>
      </c>
      <c r="C188" t="s">
        <v>560</v>
      </c>
      <c r="D188" t="s">
        <v>561</v>
      </c>
      <c r="E188" t="s">
        <v>561</v>
      </c>
      <c r="F188" t="s">
        <v>196</v>
      </c>
      <c r="G188" t="s">
        <v>207</v>
      </c>
      <c r="H188">
        <v>43</v>
      </c>
    </row>
    <row r="189" spans="1:8" x14ac:dyDescent="0.25">
      <c r="A189" t="s">
        <v>562</v>
      </c>
      <c r="B189">
        <v>118</v>
      </c>
      <c r="C189" t="s">
        <v>562</v>
      </c>
      <c r="D189" t="s">
        <v>563</v>
      </c>
      <c r="E189" t="s">
        <v>563</v>
      </c>
      <c r="F189" t="s">
        <v>196</v>
      </c>
      <c r="G189" t="s">
        <v>207</v>
      </c>
      <c r="H189">
        <v>43</v>
      </c>
    </row>
    <row r="190" spans="1:8" x14ac:dyDescent="0.25">
      <c r="A190" t="s">
        <v>564</v>
      </c>
      <c r="B190">
        <v>119</v>
      </c>
      <c r="C190" t="s">
        <v>564</v>
      </c>
      <c r="D190" t="s">
        <v>565</v>
      </c>
      <c r="E190" t="s">
        <v>565</v>
      </c>
      <c r="F190" t="s">
        <v>196</v>
      </c>
      <c r="G190" t="s">
        <v>207</v>
      </c>
      <c r="H190">
        <v>43</v>
      </c>
    </row>
    <row r="191" spans="1:8" x14ac:dyDescent="0.25">
      <c r="A191" t="s">
        <v>566</v>
      </c>
      <c r="B191">
        <v>120</v>
      </c>
      <c r="C191" t="s">
        <v>566</v>
      </c>
      <c r="D191" t="s">
        <v>567</v>
      </c>
      <c r="E191" t="s">
        <v>567</v>
      </c>
      <c r="F191" t="s">
        <v>196</v>
      </c>
      <c r="G191" t="s">
        <v>207</v>
      </c>
      <c r="H191">
        <v>43</v>
      </c>
    </row>
    <row r="192" spans="1:8" x14ac:dyDescent="0.25">
      <c r="A192" t="s">
        <v>568</v>
      </c>
      <c r="B192">
        <v>121</v>
      </c>
      <c r="C192" t="s">
        <v>569</v>
      </c>
      <c r="D192" t="s">
        <v>570</v>
      </c>
      <c r="E192" t="s">
        <v>571</v>
      </c>
      <c r="F192" t="s">
        <v>196</v>
      </c>
      <c r="G192" t="s">
        <v>207</v>
      </c>
      <c r="H192">
        <v>43</v>
      </c>
    </row>
    <row r="193" spans="1:8" x14ac:dyDescent="0.25">
      <c r="A193" t="s">
        <v>572</v>
      </c>
      <c r="B193">
        <v>121</v>
      </c>
      <c r="C193" t="s">
        <v>569</v>
      </c>
      <c r="D193" t="s">
        <v>570</v>
      </c>
      <c r="E193" t="s">
        <v>573</v>
      </c>
      <c r="F193" t="s">
        <v>196</v>
      </c>
      <c r="G193" t="s">
        <v>207</v>
      </c>
      <c r="H193">
        <v>43</v>
      </c>
    </row>
    <row r="194" spans="1:8" x14ac:dyDescent="0.25">
      <c r="A194" t="s">
        <v>574</v>
      </c>
      <c r="B194">
        <v>122</v>
      </c>
      <c r="C194" t="s">
        <v>574</v>
      </c>
      <c r="D194" t="s">
        <v>575</v>
      </c>
      <c r="E194" t="s">
        <v>575</v>
      </c>
      <c r="F194" t="s">
        <v>16</v>
      </c>
      <c r="G194" t="s">
        <v>206</v>
      </c>
      <c r="H194">
        <v>45</v>
      </c>
    </row>
    <row r="195" spans="1:8" x14ac:dyDescent="0.25">
      <c r="A195" t="s">
        <v>576</v>
      </c>
      <c r="B195">
        <v>123</v>
      </c>
      <c r="C195" t="s">
        <v>576</v>
      </c>
      <c r="D195" t="s">
        <v>577</v>
      </c>
      <c r="E195" t="s">
        <v>577</v>
      </c>
      <c r="F195" t="s">
        <v>16</v>
      </c>
      <c r="G195" t="s">
        <v>206</v>
      </c>
      <c r="H195">
        <v>45</v>
      </c>
    </row>
    <row r="196" spans="1:8" x14ac:dyDescent="0.25">
      <c r="A196" t="s">
        <v>578</v>
      </c>
      <c r="B196">
        <v>124</v>
      </c>
      <c r="C196" t="s">
        <v>578</v>
      </c>
      <c r="D196" t="s">
        <v>579</v>
      </c>
      <c r="E196" t="s">
        <v>579</v>
      </c>
      <c r="F196" t="s">
        <v>16</v>
      </c>
      <c r="G196" t="s">
        <v>206</v>
      </c>
      <c r="H196">
        <v>45</v>
      </c>
    </row>
    <row r="197" spans="1:8" x14ac:dyDescent="0.25">
      <c r="A197" t="s">
        <v>580</v>
      </c>
      <c r="B197">
        <v>125</v>
      </c>
      <c r="C197" t="s">
        <v>580</v>
      </c>
      <c r="D197" t="s">
        <v>581</v>
      </c>
      <c r="E197" t="s">
        <v>581</v>
      </c>
      <c r="F197" t="s">
        <v>16</v>
      </c>
      <c r="G197" t="s">
        <v>206</v>
      </c>
      <c r="H197">
        <v>45</v>
      </c>
    </row>
    <row r="198" spans="1:8" x14ac:dyDescent="0.25">
      <c r="A198" t="s">
        <v>582</v>
      </c>
      <c r="B198">
        <v>126</v>
      </c>
      <c r="C198" t="s">
        <v>582</v>
      </c>
      <c r="D198" t="s">
        <v>583</v>
      </c>
      <c r="E198" t="s">
        <v>583</v>
      </c>
      <c r="F198" t="s">
        <v>16</v>
      </c>
      <c r="G198" t="s">
        <v>206</v>
      </c>
      <c r="H198">
        <v>45</v>
      </c>
    </row>
    <row r="199" spans="1:8" x14ac:dyDescent="0.25">
      <c r="A199" t="s">
        <v>584</v>
      </c>
      <c r="B199">
        <v>127</v>
      </c>
      <c r="C199" t="s">
        <v>584</v>
      </c>
      <c r="D199" t="s">
        <v>585</v>
      </c>
      <c r="E199" t="s">
        <v>585</v>
      </c>
      <c r="F199" t="s">
        <v>16</v>
      </c>
      <c r="G199" t="s">
        <v>206</v>
      </c>
      <c r="H199">
        <v>45</v>
      </c>
    </row>
    <row r="200" spans="1:8" x14ac:dyDescent="0.25">
      <c r="A200" t="s">
        <v>586</v>
      </c>
      <c r="B200">
        <v>128</v>
      </c>
      <c r="C200" t="s">
        <v>586</v>
      </c>
      <c r="D200" t="s">
        <v>587</v>
      </c>
      <c r="E200" t="s">
        <v>587</v>
      </c>
      <c r="F200" t="s">
        <v>16</v>
      </c>
      <c r="G200" t="s">
        <v>206</v>
      </c>
      <c r="H200">
        <v>45</v>
      </c>
    </row>
    <row r="201" spans="1:8" x14ac:dyDescent="0.25">
      <c r="A201" t="s">
        <v>588</v>
      </c>
      <c r="B201">
        <v>129</v>
      </c>
      <c r="C201" t="s">
        <v>588</v>
      </c>
      <c r="D201" t="s">
        <v>589</v>
      </c>
      <c r="E201" t="s">
        <v>589</v>
      </c>
      <c r="F201" t="s">
        <v>16</v>
      </c>
      <c r="G201" t="s">
        <v>206</v>
      </c>
      <c r="H201">
        <v>45</v>
      </c>
    </row>
    <row r="202" spans="1:8" x14ac:dyDescent="0.25">
      <c r="A202" t="s">
        <v>590</v>
      </c>
      <c r="B202">
        <v>130</v>
      </c>
      <c r="C202" t="s">
        <v>590</v>
      </c>
      <c r="D202" t="s">
        <v>591</v>
      </c>
      <c r="E202" t="s">
        <v>591</v>
      </c>
      <c r="F202" t="s">
        <v>16</v>
      </c>
      <c r="G202" t="s">
        <v>206</v>
      </c>
      <c r="H202">
        <v>45</v>
      </c>
    </row>
    <row r="203" spans="1:8" x14ac:dyDescent="0.25">
      <c r="A203" t="s">
        <v>592</v>
      </c>
      <c r="B203">
        <v>131</v>
      </c>
      <c r="C203" t="s">
        <v>592</v>
      </c>
      <c r="D203" t="s">
        <v>593</v>
      </c>
      <c r="E203" t="s">
        <v>593</v>
      </c>
      <c r="F203" t="s">
        <v>16</v>
      </c>
      <c r="G203" t="s">
        <v>206</v>
      </c>
      <c r="H203">
        <v>45</v>
      </c>
    </row>
    <row r="204" spans="1:8" x14ac:dyDescent="0.25">
      <c r="A204" t="s">
        <v>594</v>
      </c>
      <c r="B204">
        <v>132</v>
      </c>
      <c r="C204" t="s">
        <v>594</v>
      </c>
      <c r="D204" t="s">
        <v>595</v>
      </c>
      <c r="E204" t="s">
        <v>595</v>
      </c>
      <c r="F204" t="s">
        <v>16</v>
      </c>
      <c r="G204" t="s">
        <v>206</v>
      </c>
      <c r="H204">
        <v>45</v>
      </c>
    </row>
    <row r="205" spans="1:8" x14ac:dyDescent="0.25">
      <c r="A205" t="s">
        <v>596</v>
      </c>
      <c r="B205">
        <v>133</v>
      </c>
      <c r="C205" t="s">
        <v>597</v>
      </c>
      <c r="D205" t="s">
        <v>598</v>
      </c>
      <c r="E205" t="s">
        <v>599</v>
      </c>
      <c r="F205" t="s">
        <v>16</v>
      </c>
      <c r="G205" t="s">
        <v>206</v>
      </c>
      <c r="H205">
        <v>45</v>
      </c>
    </row>
    <row r="206" spans="1:8" x14ac:dyDescent="0.25">
      <c r="A206" t="s">
        <v>600</v>
      </c>
      <c r="B206">
        <v>133</v>
      </c>
      <c r="C206" t="s">
        <v>597</v>
      </c>
      <c r="D206" t="s">
        <v>598</v>
      </c>
      <c r="E206" t="s">
        <v>601</v>
      </c>
      <c r="F206" t="s">
        <v>16</v>
      </c>
      <c r="G206" t="s">
        <v>206</v>
      </c>
      <c r="H206">
        <v>45</v>
      </c>
    </row>
    <row r="207" spans="1:8" x14ac:dyDescent="0.25">
      <c r="A207" t="s">
        <v>602</v>
      </c>
      <c r="B207">
        <v>133</v>
      </c>
      <c r="C207" t="s">
        <v>597</v>
      </c>
      <c r="D207" t="s">
        <v>598</v>
      </c>
      <c r="E207" t="s">
        <v>603</v>
      </c>
      <c r="F207" t="s">
        <v>16</v>
      </c>
      <c r="G207" t="s">
        <v>206</v>
      </c>
      <c r="H207">
        <v>45</v>
      </c>
    </row>
    <row r="208" spans="1:8" x14ac:dyDescent="0.25">
      <c r="A208" t="s">
        <v>604</v>
      </c>
      <c r="B208">
        <v>133</v>
      </c>
      <c r="C208" t="s">
        <v>597</v>
      </c>
      <c r="D208" t="s">
        <v>598</v>
      </c>
      <c r="E208" t="s">
        <v>605</v>
      </c>
      <c r="F208" t="s">
        <v>16</v>
      </c>
      <c r="G208" t="s">
        <v>206</v>
      </c>
      <c r="H208">
        <v>45</v>
      </c>
    </row>
    <row r="209" spans="1:8" x14ac:dyDescent="0.25">
      <c r="A209" t="s">
        <v>606</v>
      </c>
      <c r="B209">
        <v>133</v>
      </c>
      <c r="C209" t="s">
        <v>597</v>
      </c>
      <c r="D209" t="s">
        <v>598</v>
      </c>
      <c r="E209" t="s">
        <v>607</v>
      </c>
      <c r="F209" t="s">
        <v>16</v>
      </c>
      <c r="G209" t="s">
        <v>206</v>
      </c>
      <c r="H209">
        <v>45</v>
      </c>
    </row>
    <row r="210" spans="1:8" x14ac:dyDescent="0.25">
      <c r="A210" t="s">
        <v>608</v>
      </c>
      <c r="B210">
        <v>133</v>
      </c>
      <c r="C210" t="s">
        <v>597</v>
      </c>
      <c r="D210" t="s">
        <v>598</v>
      </c>
      <c r="E210" t="s">
        <v>609</v>
      </c>
      <c r="F210" t="s">
        <v>16</v>
      </c>
      <c r="G210" t="s">
        <v>206</v>
      </c>
      <c r="H210">
        <v>45</v>
      </c>
    </row>
    <row r="211" spans="1:8" x14ac:dyDescent="0.25">
      <c r="A211" t="s">
        <v>610</v>
      </c>
      <c r="B211">
        <v>133</v>
      </c>
      <c r="C211" t="s">
        <v>597</v>
      </c>
      <c r="D211" t="s">
        <v>598</v>
      </c>
      <c r="E211" t="s">
        <v>611</v>
      </c>
      <c r="F211" t="s">
        <v>16</v>
      </c>
      <c r="G211" t="s">
        <v>206</v>
      </c>
      <c r="H211">
        <v>45</v>
      </c>
    </row>
    <row r="212" spans="1:8" x14ac:dyDescent="0.25">
      <c r="A212" t="s">
        <v>612</v>
      </c>
      <c r="B212">
        <v>134</v>
      </c>
      <c r="C212" t="s">
        <v>612</v>
      </c>
      <c r="D212" t="s">
        <v>613</v>
      </c>
      <c r="E212" t="s">
        <v>613</v>
      </c>
      <c r="F212" t="s">
        <v>16</v>
      </c>
      <c r="G212" t="s">
        <v>206</v>
      </c>
      <c r="H212">
        <v>45</v>
      </c>
    </row>
    <row r="213" spans="1:8" x14ac:dyDescent="0.25">
      <c r="A213" t="s">
        <v>614</v>
      </c>
      <c r="B213">
        <v>135</v>
      </c>
      <c r="C213" t="s">
        <v>614</v>
      </c>
      <c r="D213" t="s">
        <v>615</v>
      </c>
      <c r="E213" t="s">
        <v>615</v>
      </c>
      <c r="F213" t="s">
        <v>16</v>
      </c>
      <c r="G213" t="s">
        <v>206</v>
      </c>
      <c r="H213">
        <v>45</v>
      </c>
    </row>
    <row r="214" spans="1:8" x14ac:dyDescent="0.25">
      <c r="A214" t="s">
        <v>616</v>
      </c>
      <c r="B214">
        <v>136</v>
      </c>
      <c r="C214" t="s">
        <v>616</v>
      </c>
      <c r="D214" t="s">
        <v>617</v>
      </c>
      <c r="E214" t="s">
        <v>617</v>
      </c>
      <c r="F214" t="s">
        <v>16</v>
      </c>
      <c r="G214" t="s">
        <v>206</v>
      </c>
      <c r="H214">
        <v>45</v>
      </c>
    </row>
    <row r="215" spans="1:8" x14ac:dyDescent="0.25">
      <c r="A215" t="s">
        <v>618</v>
      </c>
      <c r="B215">
        <v>137</v>
      </c>
      <c r="C215" t="s">
        <v>618</v>
      </c>
      <c r="D215" t="s">
        <v>619</v>
      </c>
      <c r="E215" t="s">
        <v>619</v>
      </c>
      <c r="F215" t="s">
        <v>16</v>
      </c>
      <c r="G215" t="s">
        <v>206</v>
      </c>
      <c r="H215">
        <v>45</v>
      </c>
    </row>
    <row r="216" spans="1:8" x14ac:dyDescent="0.25">
      <c r="A216" t="s">
        <v>620</v>
      </c>
      <c r="B216">
        <v>138</v>
      </c>
      <c r="C216" t="s">
        <v>620</v>
      </c>
      <c r="D216" t="s">
        <v>621</v>
      </c>
      <c r="E216" t="s">
        <v>621</v>
      </c>
      <c r="F216" t="s">
        <v>16</v>
      </c>
      <c r="G216" t="s">
        <v>206</v>
      </c>
      <c r="H216">
        <v>45</v>
      </c>
    </row>
    <row r="217" spans="1:8" x14ac:dyDescent="0.25">
      <c r="A217" t="s">
        <v>622</v>
      </c>
      <c r="B217">
        <v>139</v>
      </c>
      <c r="C217" t="s">
        <v>622</v>
      </c>
      <c r="D217" t="s">
        <v>623</v>
      </c>
      <c r="E217" t="s">
        <v>623</v>
      </c>
      <c r="F217" t="s">
        <v>16</v>
      </c>
      <c r="G217" t="s">
        <v>206</v>
      </c>
      <c r="H217">
        <v>45</v>
      </c>
    </row>
    <row r="218" spans="1:8" x14ac:dyDescent="0.25">
      <c r="A218" t="s">
        <v>624</v>
      </c>
      <c r="B218">
        <v>140</v>
      </c>
      <c r="C218" t="s">
        <v>625</v>
      </c>
      <c r="D218" t="s">
        <v>626</v>
      </c>
      <c r="E218" t="s">
        <v>627</v>
      </c>
      <c r="F218" t="s">
        <v>16</v>
      </c>
      <c r="G218" t="s">
        <v>206</v>
      </c>
      <c r="H218">
        <v>45</v>
      </c>
    </row>
    <row r="219" spans="1:8" x14ac:dyDescent="0.25">
      <c r="A219" t="s">
        <v>628</v>
      </c>
      <c r="B219">
        <v>140</v>
      </c>
      <c r="C219" t="s">
        <v>625</v>
      </c>
      <c r="D219" t="s">
        <v>626</v>
      </c>
      <c r="E219" t="s">
        <v>629</v>
      </c>
      <c r="F219" t="s">
        <v>16</v>
      </c>
      <c r="G219" t="s">
        <v>206</v>
      </c>
      <c r="H219">
        <v>45</v>
      </c>
    </row>
    <row r="220" spans="1:8" x14ac:dyDescent="0.25">
      <c r="A220" t="s">
        <v>630</v>
      </c>
      <c r="B220">
        <v>141</v>
      </c>
      <c r="C220" t="s">
        <v>630</v>
      </c>
      <c r="D220" t="s">
        <v>631</v>
      </c>
      <c r="E220" t="s">
        <v>631</v>
      </c>
      <c r="F220" t="s">
        <v>16</v>
      </c>
      <c r="G220" t="s">
        <v>206</v>
      </c>
      <c r="H220">
        <v>45</v>
      </c>
    </row>
    <row r="221" spans="1:8" x14ac:dyDescent="0.25">
      <c r="A221" t="s">
        <v>632</v>
      </c>
      <c r="B221">
        <v>142</v>
      </c>
      <c r="C221" t="s">
        <v>632</v>
      </c>
      <c r="D221" t="s">
        <v>633</v>
      </c>
      <c r="E221" t="s">
        <v>633</v>
      </c>
      <c r="F221" t="s">
        <v>16</v>
      </c>
      <c r="G221" t="s">
        <v>206</v>
      </c>
      <c r="H221">
        <v>45</v>
      </c>
    </row>
    <row r="222" spans="1:8" x14ac:dyDescent="0.25">
      <c r="A222" t="s">
        <v>634</v>
      </c>
      <c r="B222">
        <v>143</v>
      </c>
      <c r="C222" t="s">
        <v>634</v>
      </c>
      <c r="D222" t="s">
        <v>635</v>
      </c>
      <c r="E222" t="s">
        <v>635</v>
      </c>
      <c r="F222" t="s">
        <v>16</v>
      </c>
      <c r="G222" t="s">
        <v>206</v>
      </c>
      <c r="H222">
        <v>45</v>
      </c>
    </row>
    <row r="223" spans="1:8" x14ac:dyDescent="0.25">
      <c r="A223" t="s">
        <v>636</v>
      </c>
      <c r="B223">
        <v>144</v>
      </c>
      <c r="C223" t="s">
        <v>636</v>
      </c>
      <c r="D223" t="s">
        <v>637</v>
      </c>
      <c r="E223" t="s">
        <v>637</v>
      </c>
      <c r="F223" t="s">
        <v>16</v>
      </c>
      <c r="G223" t="s">
        <v>206</v>
      </c>
      <c r="H223">
        <v>45</v>
      </c>
    </row>
    <row r="224" spans="1:8" x14ac:dyDescent="0.25">
      <c r="A224" t="s">
        <v>638</v>
      </c>
      <c r="B224">
        <v>145</v>
      </c>
      <c r="C224" t="s">
        <v>638</v>
      </c>
      <c r="D224" t="s">
        <v>639</v>
      </c>
      <c r="E224" t="s">
        <v>639</v>
      </c>
      <c r="F224" t="s">
        <v>16</v>
      </c>
      <c r="G224" t="s">
        <v>206</v>
      </c>
      <c r="H224">
        <v>45</v>
      </c>
    </row>
    <row r="225" spans="1:8" x14ac:dyDescent="0.25">
      <c r="A225" t="s">
        <v>640</v>
      </c>
      <c r="B225">
        <v>146</v>
      </c>
      <c r="C225" t="s">
        <v>640</v>
      </c>
      <c r="D225" t="s">
        <v>641</v>
      </c>
      <c r="E225" t="s">
        <v>641</v>
      </c>
      <c r="F225" t="s">
        <v>16</v>
      </c>
      <c r="G225" t="s">
        <v>206</v>
      </c>
      <c r="H225">
        <v>45</v>
      </c>
    </row>
    <row r="226" spans="1:8" x14ac:dyDescent="0.25">
      <c r="A226" t="s">
        <v>642</v>
      </c>
      <c r="B226">
        <v>147</v>
      </c>
      <c r="C226" t="s">
        <v>642</v>
      </c>
      <c r="D226" t="s">
        <v>643</v>
      </c>
      <c r="E226" t="s">
        <v>643</v>
      </c>
      <c r="F226" t="s">
        <v>16</v>
      </c>
      <c r="G226" t="s">
        <v>206</v>
      </c>
      <c r="H226">
        <v>45</v>
      </c>
    </row>
    <row r="227" spans="1:8" x14ac:dyDescent="0.25">
      <c r="A227" t="s">
        <v>644</v>
      </c>
      <c r="B227">
        <v>148</v>
      </c>
      <c r="C227" t="s">
        <v>644</v>
      </c>
      <c r="D227" t="s">
        <v>645</v>
      </c>
      <c r="E227" t="s">
        <v>645</v>
      </c>
      <c r="F227" t="s">
        <v>16</v>
      </c>
      <c r="G227" t="s">
        <v>206</v>
      </c>
      <c r="H227">
        <v>45</v>
      </c>
    </row>
    <row r="228" spans="1:8" x14ac:dyDescent="0.25">
      <c r="A228" t="s">
        <v>646</v>
      </c>
      <c r="B228">
        <v>149</v>
      </c>
      <c r="C228" t="s">
        <v>646</v>
      </c>
      <c r="D228" t="s">
        <v>647</v>
      </c>
      <c r="E228" t="s">
        <v>647</v>
      </c>
      <c r="F228" t="s">
        <v>16</v>
      </c>
      <c r="G228" t="s">
        <v>206</v>
      </c>
      <c r="H228">
        <v>45</v>
      </c>
    </row>
    <row r="229" spans="1:8" x14ac:dyDescent="0.25">
      <c r="A229" t="s">
        <v>648</v>
      </c>
      <c r="B229">
        <v>150</v>
      </c>
      <c r="C229" t="s">
        <v>648</v>
      </c>
      <c r="D229" t="s">
        <v>649</v>
      </c>
      <c r="E229" t="s">
        <v>649</v>
      </c>
      <c r="F229" t="s">
        <v>16</v>
      </c>
      <c r="G229" t="s">
        <v>206</v>
      </c>
      <c r="H229">
        <v>45</v>
      </c>
    </row>
    <row r="230" spans="1:8" x14ac:dyDescent="0.25">
      <c r="A230" t="s">
        <v>650</v>
      </c>
      <c r="B230">
        <v>151</v>
      </c>
      <c r="C230" t="s">
        <v>650</v>
      </c>
      <c r="D230" t="s">
        <v>651</v>
      </c>
      <c r="E230" t="s">
        <v>651</v>
      </c>
      <c r="F230" t="s">
        <v>16</v>
      </c>
      <c r="G230" t="s">
        <v>206</v>
      </c>
      <c r="H230">
        <v>45</v>
      </c>
    </row>
    <row r="231" spans="1:8" x14ac:dyDescent="0.25">
      <c r="A231" t="s">
        <v>652</v>
      </c>
      <c r="B231">
        <v>152</v>
      </c>
      <c r="C231" t="s">
        <v>652</v>
      </c>
      <c r="D231" t="s">
        <v>653</v>
      </c>
      <c r="E231" t="s">
        <v>653</v>
      </c>
      <c r="F231" t="s">
        <v>16</v>
      </c>
      <c r="G231" t="s">
        <v>206</v>
      </c>
      <c r="H231">
        <v>45</v>
      </c>
    </row>
    <row r="232" spans="1:8" x14ac:dyDescent="0.25">
      <c r="A232" t="s">
        <v>654</v>
      </c>
      <c r="B232">
        <v>153</v>
      </c>
      <c r="C232" t="s">
        <v>654</v>
      </c>
      <c r="D232" t="s">
        <v>655</v>
      </c>
      <c r="E232" t="s">
        <v>655</v>
      </c>
      <c r="F232" t="s">
        <v>16</v>
      </c>
      <c r="G232" t="s">
        <v>206</v>
      </c>
      <c r="H232">
        <v>45</v>
      </c>
    </row>
    <row r="233" spans="1:8" x14ac:dyDescent="0.25">
      <c r="A233" t="s">
        <v>656</v>
      </c>
      <c r="B233">
        <v>154</v>
      </c>
      <c r="C233" t="s">
        <v>657</v>
      </c>
      <c r="D233" t="s">
        <v>658</v>
      </c>
      <c r="E233" t="s">
        <v>659</v>
      </c>
      <c r="F233" t="s">
        <v>16</v>
      </c>
      <c r="G233" t="s">
        <v>206</v>
      </c>
      <c r="H233">
        <v>45</v>
      </c>
    </row>
    <row r="234" spans="1:8" x14ac:dyDescent="0.25">
      <c r="A234" t="s">
        <v>660</v>
      </c>
      <c r="B234">
        <v>154</v>
      </c>
      <c r="C234" t="s">
        <v>657</v>
      </c>
      <c r="D234" t="s">
        <v>658</v>
      </c>
      <c r="E234" t="s">
        <v>661</v>
      </c>
      <c r="F234" t="s">
        <v>16</v>
      </c>
      <c r="G234" t="s">
        <v>206</v>
      </c>
      <c r="H234">
        <v>45</v>
      </c>
    </row>
    <row r="235" spans="1:8" x14ac:dyDescent="0.25">
      <c r="A235" t="s">
        <v>662</v>
      </c>
      <c r="B235">
        <v>154</v>
      </c>
      <c r="C235" t="s">
        <v>657</v>
      </c>
      <c r="D235" t="s">
        <v>658</v>
      </c>
      <c r="E235" t="s">
        <v>663</v>
      </c>
      <c r="F235" t="s">
        <v>16</v>
      </c>
      <c r="G235" t="s">
        <v>206</v>
      </c>
      <c r="H235">
        <v>45</v>
      </c>
    </row>
    <row r="236" spans="1:8" x14ac:dyDescent="0.25">
      <c r="A236" t="s">
        <v>664</v>
      </c>
      <c r="B236">
        <v>154</v>
      </c>
      <c r="C236" t="s">
        <v>657</v>
      </c>
      <c r="D236" t="s">
        <v>658</v>
      </c>
      <c r="E236" t="s">
        <v>665</v>
      </c>
      <c r="F236" t="s">
        <v>16</v>
      </c>
      <c r="G236" t="s">
        <v>206</v>
      </c>
      <c r="H236">
        <v>45</v>
      </c>
    </row>
    <row r="237" spans="1:8" x14ac:dyDescent="0.25">
      <c r="A237" t="s">
        <v>666</v>
      </c>
      <c r="B237">
        <v>154</v>
      </c>
      <c r="C237" t="s">
        <v>657</v>
      </c>
      <c r="D237" t="s">
        <v>658</v>
      </c>
      <c r="E237" t="s">
        <v>667</v>
      </c>
      <c r="F237" t="s">
        <v>16</v>
      </c>
      <c r="G237" t="s">
        <v>206</v>
      </c>
      <c r="H237">
        <v>45</v>
      </c>
    </row>
    <row r="238" spans="1:8" x14ac:dyDescent="0.25">
      <c r="A238" t="s">
        <v>668</v>
      </c>
      <c r="B238">
        <v>154</v>
      </c>
      <c r="C238" t="s">
        <v>657</v>
      </c>
      <c r="D238" t="s">
        <v>658</v>
      </c>
      <c r="E238" t="s">
        <v>669</v>
      </c>
      <c r="F238" t="s">
        <v>16</v>
      </c>
      <c r="G238" t="s">
        <v>206</v>
      </c>
      <c r="H238">
        <v>45</v>
      </c>
    </row>
    <row r="239" spans="1:8" x14ac:dyDescent="0.25">
      <c r="A239" t="s">
        <v>670</v>
      </c>
      <c r="B239">
        <v>154</v>
      </c>
      <c r="C239" t="s">
        <v>657</v>
      </c>
      <c r="D239" t="s">
        <v>658</v>
      </c>
      <c r="E239" t="s">
        <v>671</v>
      </c>
      <c r="F239" t="s">
        <v>16</v>
      </c>
      <c r="G239" t="s">
        <v>206</v>
      </c>
      <c r="H239">
        <v>45</v>
      </c>
    </row>
    <row r="240" spans="1:8" x14ac:dyDescent="0.25">
      <c r="A240" t="s">
        <v>672</v>
      </c>
      <c r="B240">
        <v>155</v>
      </c>
      <c r="C240" t="s">
        <v>672</v>
      </c>
      <c r="D240" t="s">
        <v>673</v>
      </c>
      <c r="E240" t="s">
        <v>673</v>
      </c>
      <c r="F240" t="s">
        <v>16</v>
      </c>
      <c r="G240" t="s">
        <v>206</v>
      </c>
      <c r="H240">
        <v>45</v>
      </c>
    </row>
    <row r="241" spans="1:8" x14ac:dyDescent="0.25">
      <c r="A241" t="s">
        <v>674</v>
      </c>
      <c r="B241">
        <v>156</v>
      </c>
      <c r="C241" t="s">
        <v>674</v>
      </c>
      <c r="D241" t="s">
        <v>675</v>
      </c>
      <c r="E241" t="s">
        <v>675</v>
      </c>
      <c r="F241" t="s">
        <v>16</v>
      </c>
      <c r="G241" t="s">
        <v>206</v>
      </c>
      <c r="H241">
        <v>45</v>
      </c>
    </row>
    <row r="242" spans="1:8" x14ac:dyDescent="0.25">
      <c r="A242" t="s">
        <v>676</v>
      </c>
      <c r="B242">
        <v>157</v>
      </c>
      <c r="C242" t="s">
        <v>676</v>
      </c>
      <c r="D242" t="s">
        <v>677</v>
      </c>
      <c r="E242" t="s">
        <v>677</v>
      </c>
      <c r="F242" t="s">
        <v>16</v>
      </c>
      <c r="G242" t="s">
        <v>206</v>
      </c>
      <c r="H242">
        <v>45</v>
      </c>
    </row>
    <row r="243" spans="1:8" x14ac:dyDescent="0.25">
      <c r="A243" t="s">
        <v>678</v>
      </c>
      <c r="B243">
        <v>158</v>
      </c>
      <c r="C243" t="s">
        <v>678</v>
      </c>
      <c r="D243" t="s">
        <v>195</v>
      </c>
      <c r="E243" t="s">
        <v>195</v>
      </c>
      <c r="F243" t="s">
        <v>679</v>
      </c>
      <c r="G243" t="s">
        <v>195</v>
      </c>
      <c r="H243">
        <v>44</v>
      </c>
    </row>
    <row r="244" spans="1:8" x14ac:dyDescent="0.25">
      <c r="A244" t="s">
        <v>680</v>
      </c>
      <c r="B244">
        <v>159</v>
      </c>
      <c r="C244" t="s">
        <v>681</v>
      </c>
      <c r="D244" t="s">
        <v>682</v>
      </c>
      <c r="E244" t="s">
        <v>683</v>
      </c>
      <c r="F244" t="s">
        <v>679</v>
      </c>
      <c r="G244" t="s">
        <v>195</v>
      </c>
      <c r="H244">
        <v>44</v>
      </c>
    </row>
    <row r="245" spans="1:8" x14ac:dyDescent="0.25">
      <c r="A245" t="s">
        <v>684</v>
      </c>
      <c r="B245">
        <v>160</v>
      </c>
      <c r="C245" t="s">
        <v>685</v>
      </c>
      <c r="D245" t="s">
        <v>686</v>
      </c>
      <c r="E245" t="s">
        <v>687</v>
      </c>
      <c r="F245" t="s">
        <v>342</v>
      </c>
      <c r="G245" t="s">
        <v>343</v>
      </c>
      <c r="H245">
        <v>12</v>
      </c>
    </row>
    <row r="246" spans="1:8" x14ac:dyDescent="0.25">
      <c r="A246" t="s">
        <v>688</v>
      </c>
      <c r="B246">
        <v>160</v>
      </c>
      <c r="C246" t="s">
        <v>685</v>
      </c>
      <c r="D246" t="s">
        <v>686</v>
      </c>
      <c r="E246" t="s">
        <v>689</v>
      </c>
      <c r="F246" t="s">
        <v>342</v>
      </c>
      <c r="G246" t="s">
        <v>343</v>
      </c>
      <c r="H246">
        <v>12</v>
      </c>
    </row>
    <row r="247" spans="1:8" x14ac:dyDescent="0.25">
      <c r="A247" t="s">
        <v>690</v>
      </c>
      <c r="B247">
        <v>160</v>
      </c>
      <c r="C247" t="s">
        <v>685</v>
      </c>
      <c r="D247" t="s">
        <v>686</v>
      </c>
      <c r="E247" t="s">
        <v>691</v>
      </c>
      <c r="F247" t="s">
        <v>342</v>
      </c>
      <c r="G247" t="s">
        <v>343</v>
      </c>
      <c r="H247">
        <v>12</v>
      </c>
    </row>
    <row r="248" spans="1:8" x14ac:dyDescent="0.25">
      <c r="A248" t="s">
        <v>692</v>
      </c>
      <c r="B248">
        <v>160</v>
      </c>
      <c r="C248" t="s">
        <v>685</v>
      </c>
      <c r="D248" t="s">
        <v>686</v>
      </c>
      <c r="E248" t="s">
        <v>693</v>
      </c>
      <c r="F248" t="s">
        <v>342</v>
      </c>
      <c r="G248" t="s">
        <v>343</v>
      </c>
      <c r="H248">
        <v>12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F769-6BDF-427C-8CD2-B3411C644816}">
  <dimension ref="A1:C76"/>
  <sheetViews>
    <sheetView workbookViewId="0">
      <selection activeCell="B1" sqref="B1:C5"/>
    </sheetView>
  </sheetViews>
  <sheetFormatPr defaultRowHeight="15" x14ac:dyDescent="0.25"/>
  <sheetData>
    <row r="1" spans="1:3" x14ac:dyDescent="0.25">
      <c r="A1" t="s">
        <v>17</v>
      </c>
      <c r="B1" t="s">
        <v>722</v>
      </c>
      <c r="C1" t="s">
        <v>84</v>
      </c>
    </row>
    <row r="2" spans="1:3" x14ac:dyDescent="0.25">
      <c r="A2" t="s">
        <v>18</v>
      </c>
      <c r="B2" t="s">
        <v>722</v>
      </c>
      <c r="C2" t="s">
        <v>85</v>
      </c>
    </row>
    <row r="3" spans="1:3" x14ac:dyDescent="0.25">
      <c r="A3" t="s">
        <v>19</v>
      </c>
      <c r="B3" t="s">
        <v>722</v>
      </c>
      <c r="C3" t="s">
        <v>86</v>
      </c>
    </row>
    <row r="4" spans="1:3" x14ac:dyDescent="0.25">
      <c r="A4" t="s">
        <v>20</v>
      </c>
      <c r="B4" t="s">
        <v>722</v>
      </c>
      <c r="C4" t="s">
        <v>87</v>
      </c>
    </row>
    <row r="5" spans="1:3" x14ac:dyDescent="0.25">
      <c r="A5" t="s">
        <v>21</v>
      </c>
      <c r="B5" t="s">
        <v>722</v>
      </c>
      <c r="C5" t="s">
        <v>88</v>
      </c>
    </row>
    <row r="6" spans="1:3" x14ac:dyDescent="0.25">
      <c r="A6" t="s">
        <v>22</v>
      </c>
      <c r="B6" t="s">
        <v>722</v>
      </c>
      <c r="C6" t="s">
        <v>89</v>
      </c>
    </row>
    <row r="7" spans="1:3" x14ac:dyDescent="0.25">
      <c r="A7" t="s">
        <v>23</v>
      </c>
      <c r="B7" t="s">
        <v>722</v>
      </c>
      <c r="C7" t="s">
        <v>90</v>
      </c>
    </row>
    <row r="8" spans="1:3" x14ac:dyDescent="0.25">
      <c r="A8" t="s">
        <v>24</v>
      </c>
      <c r="B8" t="s">
        <v>722</v>
      </c>
      <c r="C8" t="s">
        <v>91</v>
      </c>
    </row>
    <row r="9" spans="1:3" x14ac:dyDescent="0.25">
      <c r="A9" t="s">
        <v>25</v>
      </c>
      <c r="B9" t="s">
        <v>722</v>
      </c>
      <c r="C9" t="s">
        <v>723</v>
      </c>
    </row>
    <row r="10" spans="1:3" x14ac:dyDescent="0.25">
      <c r="A10" t="s">
        <v>26</v>
      </c>
      <c r="B10" t="s">
        <v>722</v>
      </c>
      <c r="C10" t="s">
        <v>93</v>
      </c>
    </row>
    <row r="11" spans="1:3" x14ac:dyDescent="0.25">
      <c r="A11" t="s">
        <v>27</v>
      </c>
      <c r="B11" t="s">
        <v>722</v>
      </c>
      <c r="C11" t="s">
        <v>94</v>
      </c>
    </row>
    <row r="12" spans="1:3" x14ac:dyDescent="0.25">
      <c r="A12" t="s">
        <v>28</v>
      </c>
      <c r="B12" t="s">
        <v>722</v>
      </c>
      <c r="C12" t="s">
        <v>95</v>
      </c>
    </row>
    <row r="13" spans="1:3" x14ac:dyDescent="0.25">
      <c r="A13" t="s">
        <v>29</v>
      </c>
      <c r="B13" t="s">
        <v>722</v>
      </c>
      <c r="C13" t="s">
        <v>96</v>
      </c>
    </row>
    <row r="14" spans="1:3" x14ac:dyDescent="0.25">
      <c r="A14" t="s">
        <v>30</v>
      </c>
      <c r="B14" t="s">
        <v>722</v>
      </c>
      <c r="C14" t="s">
        <v>97</v>
      </c>
    </row>
    <row r="15" spans="1:3" x14ac:dyDescent="0.25">
      <c r="A15" t="s">
        <v>31</v>
      </c>
      <c r="B15" t="s">
        <v>722</v>
      </c>
      <c r="C15" t="s">
        <v>75</v>
      </c>
    </row>
    <row r="16" spans="1:3" x14ac:dyDescent="0.25">
      <c r="A16" t="s">
        <v>32</v>
      </c>
      <c r="B16" t="s">
        <v>722</v>
      </c>
      <c r="C16" t="s">
        <v>76</v>
      </c>
    </row>
    <row r="17" spans="1:3" x14ac:dyDescent="0.25">
      <c r="A17" t="s">
        <v>33</v>
      </c>
      <c r="B17" t="s">
        <v>722</v>
      </c>
      <c r="C17" t="s">
        <v>98</v>
      </c>
    </row>
    <row r="18" spans="1:3" x14ac:dyDescent="0.25">
      <c r="A18" t="s">
        <v>99</v>
      </c>
      <c r="B18" t="s">
        <v>722</v>
      </c>
      <c r="C18" t="s">
        <v>724</v>
      </c>
    </row>
    <row r="19" spans="1:3" x14ac:dyDescent="0.25">
      <c r="A19" t="s">
        <v>34</v>
      </c>
      <c r="B19" t="s">
        <v>722</v>
      </c>
      <c r="C19" t="s">
        <v>101</v>
      </c>
    </row>
    <row r="20" spans="1:3" x14ac:dyDescent="0.25">
      <c r="A20" t="s">
        <v>35</v>
      </c>
      <c r="B20" t="s">
        <v>722</v>
      </c>
      <c r="C20" t="s">
        <v>102</v>
      </c>
    </row>
    <row r="21" spans="1:3" x14ac:dyDescent="0.25">
      <c r="A21" t="s">
        <v>36</v>
      </c>
      <c r="B21" t="s">
        <v>722</v>
      </c>
      <c r="C21" t="s">
        <v>103</v>
      </c>
    </row>
    <row r="22" spans="1:3" x14ac:dyDescent="0.25">
      <c r="A22" t="s">
        <v>37</v>
      </c>
      <c r="B22" t="s">
        <v>722</v>
      </c>
      <c r="C22" t="s">
        <v>104</v>
      </c>
    </row>
    <row r="23" spans="1:3" x14ac:dyDescent="0.25">
      <c r="A23" t="s">
        <v>38</v>
      </c>
      <c r="B23" t="s">
        <v>722</v>
      </c>
      <c r="C23" t="s">
        <v>105</v>
      </c>
    </row>
    <row r="24" spans="1:3" x14ac:dyDescent="0.25">
      <c r="A24" t="s">
        <v>39</v>
      </c>
      <c r="B24" t="s">
        <v>722</v>
      </c>
      <c r="C24" t="s">
        <v>106</v>
      </c>
    </row>
    <row r="25" spans="1:3" x14ac:dyDescent="0.25">
      <c r="A25" t="s">
        <v>40</v>
      </c>
      <c r="B25" t="s">
        <v>722</v>
      </c>
      <c r="C25" t="s">
        <v>107</v>
      </c>
    </row>
    <row r="26" spans="1:3" x14ac:dyDescent="0.25">
      <c r="A26" t="s">
        <v>41</v>
      </c>
      <c r="B26" t="s">
        <v>722</v>
      </c>
      <c r="C26" t="s">
        <v>108</v>
      </c>
    </row>
    <row r="27" spans="1:3" x14ac:dyDescent="0.25">
      <c r="A27" t="s">
        <v>42</v>
      </c>
      <c r="B27" t="s">
        <v>722</v>
      </c>
      <c r="C27" t="s">
        <v>109</v>
      </c>
    </row>
    <row r="28" spans="1:3" x14ac:dyDescent="0.25">
      <c r="A28" t="s">
        <v>43</v>
      </c>
      <c r="B28" t="s">
        <v>722</v>
      </c>
      <c r="C28" t="s">
        <v>110</v>
      </c>
    </row>
    <row r="29" spans="1:3" x14ac:dyDescent="0.25">
      <c r="A29" t="s">
        <v>44</v>
      </c>
      <c r="B29" t="s">
        <v>722</v>
      </c>
      <c r="C29" t="s">
        <v>111</v>
      </c>
    </row>
    <row r="30" spans="1:3" x14ac:dyDescent="0.25">
      <c r="A30" t="s">
        <v>45</v>
      </c>
      <c r="B30" t="s">
        <v>722</v>
      </c>
      <c r="C30" t="s">
        <v>112</v>
      </c>
    </row>
    <row r="31" spans="1:3" x14ac:dyDescent="0.25">
      <c r="A31" t="s">
        <v>46</v>
      </c>
      <c r="B31" t="s">
        <v>722</v>
      </c>
      <c r="C31" t="s">
        <v>113</v>
      </c>
    </row>
    <row r="32" spans="1:3" x14ac:dyDescent="0.25">
      <c r="A32" t="s">
        <v>47</v>
      </c>
      <c r="B32" t="s">
        <v>722</v>
      </c>
      <c r="C32" t="s">
        <v>114</v>
      </c>
    </row>
    <row r="33" spans="1:3" x14ac:dyDescent="0.25">
      <c r="A33" t="s">
        <v>115</v>
      </c>
      <c r="B33" t="s">
        <v>722</v>
      </c>
      <c r="C33" t="s">
        <v>116</v>
      </c>
    </row>
    <row r="34" spans="1:3" x14ac:dyDescent="0.25">
      <c r="A34" t="s">
        <v>117</v>
      </c>
      <c r="B34" t="s">
        <v>722</v>
      </c>
      <c r="C34" t="s">
        <v>118</v>
      </c>
    </row>
    <row r="35" spans="1:3" x14ac:dyDescent="0.25">
      <c r="A35" t="s">
        <v>119</v>
      </c>
      <c r="B35" t="s">
        <v>722</v>
      </c>
      <c r="C35" t="s">
        <v>120</v>
      </c>
    </row>
    <row r="36" spans="1:3" x14ac:dyDescent="0.25">
      <c r="A36" t="s">
        <v>48</v>
      </c>
      <c r="B36" t="s">
        <v>722</v>
      </c>
      <c r="C36" t="s">
        <v>121</v>
      </c>
    </row>
    <row r="37" spans="1:3" x14ac:dyDescent="0.25">
      <c r="A37" t="s">
        <v>49</v>
      </c>
      <c r="B37" t="s">
        <v>722</v>
      </c>
      <c r="C37" t="s">
        <v>122</v>
      </c>
    </row>
    <row r="38" spans="1:3" x14ac:dyDescent="0.25">
      <c r="A38" t="s">
        <v>50</v>
      </c>
      <c r="B38" t="s">
        <v>722</v>
      </c>
      <c r="C38" t="s">
        <v>123</v>
      </c>
    </row>
    <row r="39" spans="1:3" x14ac:dyDescent="0.25">
      <c r="A39" t="s">
        <v>51</v>
      </c>
      <c r="B39" t="s">
        <v>722</v>
      </c>
      <c r="C39" t="s">
        <v>124</v>
      </c>
    </row>
    <row r="40" spans="1:3" x14ac:dyDescent="0.25">
      <c r="A40" t="s">
        <v>54</v>
      </c>
      <c r="B40" t="s">
        <v>722</v>
      </c>
      <c r="C40" t="s">
        <v>725</v>
      </c>
    </row>
    <row r="41" spans="1:3" x14ac:dyDescent="0.25">
      <c r="A41" t="s">
        <v>126</v>
      </c>
      <c r="B41" t="s">
        <v>722</v>
      </c>
      <c r="C41" t="s">
        <v>127</v>
      </c>
    </row>
    <row r="42" spans="1:3" x14ac:dyDescent="0.25">
      <c r="A42" t="s">
        <v>55</v>
      </c>
      <c r="B42" t="s">
        <v>722</v>
      </c>
      <c r="C42" t="s">
        <v>128</v>
      </c>
    </row>
    <row r="43" spans="1:3" x14ac:dyDescent="0.25">
      <c r="A43" t="s">
        <v>52</v>
      </c>
      <c r="B43" t="s">
        <v>722</v>
      </c>
      <c r="C43" t="s">
        <v>129</v>
      </c>
    </row>
    <row r="44" spans="1:3" x14ac:dyDescent="0.25">
      <c r="A44" t="s">
        <v>53</v>
      </c>
      <c r="B44" t="s">
        <v>722</v>
      </c>
      <c r="C44" t="s">
        <v>130</v>
      </c>
    </row>
    <row r="45" spans="1:3" x14ac:dyDescent="0.25">
      <c r="A45" t="s">
        <v>56</v>
      </c>
      <c r="B45" t="s">
        <v>722</v>
      </c>
      <c r="C45" t="s">
        <v>131</v>
      </c>
    </row>
    <row r="46" spans="1:3" x14ac:dyDescent="0.25">
      <c r="A46" t="s">
        <v>57</v>
      </c>
      <c r="B46" t="s">
        <v>722</v>
      </c>
      <c r="C46" t="s">
        <v>726</v>
      </c>
    </row>
    <row r="47" spans="1:3" x14ac:dyDescent="0.25">
      <c r="A47" t="s">
        <v>161</v>
      </c>
      <c r="B47" t="s">
        <v>722</v>
      </c>
      <c r="C47" t="s">
        <v>727</v>
      </c>
    </row>
    <row r="48" spans="1:3" x14ac:dyDescent="0.25">
      <c r="A48" t="s">
        <v>162</v>
      </c>
      <c r="B48" t="s">
        <v>722</v>
      </c>
      <c r="C48" t="s">
        <v>728</v>
      </c>
    </row>
    <row r="49" spans="1:3" x14ac:dyDescent="0.25">
      <c r="A49" t="s">
        <v>163</v>
      </c>
      <c r="B49" t="s">
        <v>722</v>
      </c>
      <c r="C49" t="s">
        <v>729</v>
      </c>
    </row>
    <row r="50" spans="1:3" x14ac:dyDescent="0.25">
      <c r="A50" t="s">
        <v>164</v>
      </c>
      <c r="B50" t="s">
        <v>722</v>
      </c>
      <c r="C50" t="s">
        <v>730</v>
      </c>
    </row>
    <row r="51" spans="1:3" x14ac:dyDescent="0.25">
      <c r="A51" t="s">
        <v>165</v>
      </c>
      <c r="B51" t="s">
        <v>722</v>
      </c>
      <c r="C51" t="s">
        <v>731</v>
      </c>
    </row>
    <row r="52" spans="1:3" x14ac:dyDescent="0.25">
      <c r="A52" t="s">
        <v>166</v>
      </c>
      <c r="B52" t="s">
        <v>722</v>
      </c>
      <c r="C52" t="s">
        <v>732</v>
      </c>
    </row>
    <row r="53" spans="1:3" x14ac:dyDescent="0.25">
      <c r="A53" t="s">
        <v>167</v>
      </c>
      <c r="B53" t="s">
        <v>722</v>
      </c>
      <c r="C53" t="s">
        <v>733</v>
      </c>
    </row>
    <row r="54" spans="1:3" x14ac:dyDescent="0.25">
      <c r="A54" t="s">
        <v>168</v>
      </c>
      <c r="B54" t="s">
        <v>722</v>
      </c>
      <c r="C54" t="s">
        <v>734</v>
      </c>
    </row>
    <row r="55" spans="1:3" x14ac:dyDescent="0.25">
      <c r="A55" t="s">
        <v>169</v>
      </c>
      <c r="B55" t="s">
        <v>722</v>
      </c>
      <c r="C55" t="s">
        <v>735</v>
      </c>
    </row>
    <row r="56" spans="1:3" x14ac:dyDescent="0.25">
      <c r="A56" t="s">
        <v>170</v>
      </c>
      <c r="B56" t="s">
        <v>722</v>
      </c>
      <c r="C56" t="s">
        <v>736</v>
      </c>
    </row>
    <row r="57" spans="1:3" x14ac:dyDescent="0.25">
      <c r="A57" t="s">
        <v>171</v>
      </c>
      <c r="B57" t="s">
        <v>722</v>
      </c>
      <c r="C57" t="s">
        <v>737</v>
      </c>
    </row>
    <row r="58" spans="1:3" x14ac:dyDescent="0.25">
      <c r="A58" t="s">
        <v>58</v>
      </c>
      <c r="B58" t="s">
        <v>722</v>
      </c>
      <c r="C58" t="s">
        <v>132</v>
      </c>
    </row>
    <row r="59" spans="1:3" x14ac:dyDescent="0.25">
      <c r="A59" t="s">
        <v>59</v>
      </c>
      <c r="B59" t="s">
        <v>722</v>
      </c>
      <c r="C59" t="s">
        <v>133</v>
      </c>
    </row>
    <row r="60" spans="1:3" x14ac:dyDescent="0.25">
      <c r="A60" t="s">
        <v>60</v>
      </c>
      <c r="B60" t="s">
        <v>722</v>
      </c>
      <c r="C60" t="s">
        <v>79</v>
      </c>
    </row>
    <row r="61" spans="1:3" x14ac:dyDescent="0.25">
      <c r="A61" t="s">
        <v>61</v>
      </c>
      <c r="B61" t="s">
        <v>722</v>
      </c>
      <c r="C61" t="s">
        <v>134</v>
      </c>
    </row>
    <row r="62" spans="1:3" x14ac:dyDescent="0.25">
      <c r="A62" t="s">
        <v>135</v>
      </c>
      <c r="B62" t="s">
        <v>722</v>
      </c>
      <c r="C62" t="s">
        <v>738</v>
      </c>
    </row>
    <row r="63" spans="1:3" x14ac:dyDescent="0.25">
      <c r="A63" t="s">
        <v>62</v>
      </c>
      <c r="B63" t="s">
        <v>722</v>
      </c>
      <c r="C63" t="s">
        <v>137</v>
      </c>
    </row>
    <row r="64" spans="1:3" x14ac:dyDescent="0.25">
      <c r="A64" t="s">
        <v>63</v>
      </c>
      <c r="B64" t="s">
        <v>722</v>
      </c>
      <c r="C64" t="s">
        <v>138</v>
      </c>
    </row>
    <row r="65" spans="1:3" x14ac:dyDescent="0.25">
      <c r="A65" t="s">
        <v>64</v>
      </c>
      <c r="B65" t="s">
        <v>722</v>
      </c>
      <c r="C65" t="s">
        <v>139</v>
      </c>
    </row>
    <row r="66" spans="1:3" x14ac:dyDescent="0.25">
      <c r="A66" t="s">
        <v>140</v>
      </c>
      <c r="B66" t="s">
        <v>722</v>
      </c>
      <c r="C66" t="s">
        <v>739</v>
      </c>
    </row>
    <row r="67" spans="1:3" x14ac:dyDescent="0.25">
      <c r="A67" t="s">
        <v>65</v>
      </c>
      <c r="B67" t="s">
        <v>722</v>
      </c>
      <c r="C67" t="s">
        <v>142</v>
      </c>
    </row>
    <row r="68" spans="1:3" x14ac:dyDescent="0.25">
      <c r="A68" t="s">
        <v>66</v>
      </c>
      <c r="B68" t="s">
        <v>722</v>
      </c>
      <c r="C68" t="s">
        <v>143</v>
      </c>
    </row>
    <row r="69" spans="1:3" x14ac:dyDescent="0.25">
      <c r="A69" t="s">
        <v>144</v>
      </c>
      <c r="B69" t="s">
        <v>722</v>
      </c>
      <c r="C69" t="s">
        <v>198</v>
      </c>
    </row>
    <row r="70" spans="1:3" x14ac:dyDescent="0.25">
      <c r="A70" t="s">
        <v>146</v>
      </c>
      <c r="B70" t="s">
        <v>722</v>
      </c>
      <c r="C70" t="s">
        <v>147</v>
      </c>
    </row>
    <row r="71" spans="1:3" x14ac:dyDescent="0.25">
      <c r="A71" t="s">
        <v>67</v>
      </c>
      <c r="B71" t="s">
        <v>722</v>
      </c>
      <c r="C71" t="s">
        <v>148</v>
      </c>
    </row>
    <row r="72" spans="1:3" x14ac:dyDescent="0.25">
      <c r="A72" t="s">
        <v>68</v>
      </c>
      <c r="B72" t="s">
        <v>722</v>
      </c>
      <c r="C72" t="s">
        <v>740</v>
      </c>
    </row>
    <row r="73" spans="1:3" x14ac:dyDescent="0.25">
      <c r="A73" t="s">
        <v>69</v>
      </c>
      <c r="B73" t="s">
        <v>722</v>
      </c>
      <c r="C73" t="s">
        <v>741</v>
      </c>
    </row>
    <row r="74" spans="1:3" x14ac:dyDescent="0.25">
      <c r="A74" t="s">
        <v>151</v>
      </c>
      <c r="B74" t="s">
        <v>722</v>
      </c>
      <c r="C74" t="s">
        <v>152</v>
      </c>
    </row>
    <row r="75" spans="1:3" x14ac:dyDescent="0.25">
      <c r="A75" t="s">
        <v>153</v>
      </c>
      <c r="B75" t="s">
        <v>722</v>
      </c>
      <c r="C75" t="s">
        <v>742</v>
      </c>
    </row>
    <row r="76" spans="1:3" x14ac:dyDescent="0.25">
      <c r="A76" t="s">
        <v>70</v>
      </c>
      <c r="B76" t="s">
        <v>722</v>
      </c>
      <c r="C76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9340-6DE9-4310-AD21-85472E7BD475}">
  <dimension ref="A1:F25"/>
  <sheetViews>
    <sheetView workbookViewId="0">
      <selection activeCell="F2" sqref="F2:F25"/>
    </sheetView>
  </sheetViews>
  <sheetFormatPr defaultRowHeight="15" x14ac:dyDescent="0.25"/>
  <sheetData>
    <row r="1" spans="1:6" x14ac:dyDescent="0.25">
      <c r="B1" t="s">
        <v>210</v>
      </c>
    </row>
    <row r="2" spans="1:6" x14ac:dyDescent="0.25">
      <c r="A2">
        <v>1</v>
      </c>
      <c r="B2" t="s">
        <v>197</v>
      </c>
      <c r="C2" t="s">
        <v>1069</v>
      </c>
      <c r="D2" t="s">
        <v>197</v>
      </c>
      <c r="F2" t="str">
        <f>B2&amp;C2&amp;D2</f>
        <v>Cereals            &amp; Cereals</v>
      </c>
    </row>
    <row r="3" spans="1:6" x14ac:dyDescent="0.25">
      <c r="A3">
        <v>2</v>
      </c>
      <c r="B3" t="s">
        <v>1074</v>
      </c>
      <c r="C3" t="s">
        <v>1069</v>
      </c>
      <c r="D3" t="s">
        <v>1074</v>
      </c>
      <c r="F3" t="str">
        <f t="shared" ref="F3:F25" si="0">B3&amp;C3&amp;D3</f>
        <v>Oilseeds            &amp; Oilseeds</v>
      </c>
    </row>
    <row r="4" spans="1:6" x14ac:dyDescent="0.25">
      <c r="A4">
        <v>3</v>
      </c>
      <c r="B4" t="s">
        <v>106</v>
      </c>
      <c r="C4" t="s">
        <v>1069</v>
      </c>
      <c r="D4" t="s">
        <v>106</v>
      </c>
      <c r="F4" t="str">
        <f t="shared" si="0"/>
        <v>Sugar            &amp; Sugar</v>
      </c>
    </row>
    <row r="5" spans="1:6" x14ac:dyDescent="0.25">
      <c r="A5">
        <v>4</v>
      </c>
      <c r="B5" t="s">
        <v>71</v>
      </c>
      <c r="C5" t="s">
        <v>1069</v>
      </c>
      <c r="D5" t="s">
        <v>71</v>
      </c>
      <c r="F5" t="str">
        <f t="shared" si="0"/>
        <v>Oth_Crops            &amp; Oth_Crops</v>
      </c>
    </row>
    <row r="6" spans="1:6" x14ac:dyDescent="0.25">
      <c r="A6">
        <v>5</v>
      </c>
      <c r="B6" t="s">
        <v>72</v>
      </c>
      <c r="C6" t="s">
        <v>1069</v>
      </c>
      <c r="D6" t="s">
        <v>72</v>
      </c>
      <c r="F6" t="str">
        <f t="shared" si="0"/>
        <v>Livestock            &amp; Livestock</v>
      </c>
    </row>
    <row r="7" spans="1:6" x14ac:dyDescent="0.25">
      <c r="A7">
        <v>6</v>
      </c>
      <c r="B7" t="s">
        <v>73</v>
      </c>
      <c r="C7" t="s">
        <v>1069</v>
      </c>
      <c r="D7" t="s">
        <v>73</v>
      </c>
      <c r="F7" t="str">
        <f t="shared" si="0"/>
        <v>Timber            &amp; Timber</v>
      </c>
    </row>
    <row r="8" spans="1:6" x14ac:dyDescent="0.25">
      <c r="A8">
        <v>7</v>
      </c>
      <c r="B8" t="s">
        <v>74</v>
      </c>
      <c r="C8" t="s">
        <v>1069</v>
      </c>
      <c r="D8" t="s">
        <v>74</v>
      </c>
      <c r="F8" t="str">
        <f t="shared" si="0"/>
        <v>Fishery            &amp; Fishery</v>
      </c>
    </row>
    <row r="9" spans="1:6" x14ac:dyDescent="0.25">
      <c r="A9">
        <v>8</v>
      </c>
      <c r="B9" t="s">
        <v>75</v>
      </c>
      <c r="C9" t="s">
        <v>1069</v>
      </c>
      <c r="D9" t="s">
        <v>75</v>
      </c>
      <c r="F9" t="str">
        <f t="shared" si="0"/>
        <v>Coal            &amp; Coal</v>
      </c>
    </row>
    <row r="10" spans="1:6" x14ac:dyDescent="0.25">
      <c r="A10">
        <v>9</v>
      </c>
      <c r="B10" t="s">
        <v>76</v>
      </c>
      <c r="C10" t="s">
        <v>1069</v>
      </c>
      <c r="D10" t="s">
        <v>76</v>
      </c>
      <c r="F10" t="str">
        <f t="shared" si="0"/>
        <v>Oil            &amp; Oil</v>
      </c>
    </row>
    <row r="11" spans="1:6" x14ac:dyDescent="0.25">
      <c r="A11">
        <v>10</v>
      </c>
      <c r="B11" t="s">
        <v>98</v>
      </c>
      <c r="C11" t="s">
        <v>1069</v>
      </c>
      <c r="D11" t="s">
        <v>98</v>
      </c>
      <c r="F11" t="str">
        <f t="shared" si="0"/>
        <v>Gas            &amp; Gas</v>
      </c>
    </row>
    <row r="12" spans="1:6" x14ac:dyDescent="0.25">
      <c r="A12">
        <v>11</v>
      </c>
      <c r="B12" t="s">
        <v>78</v>
      </c>
      <c r="C12" t="s">
        <v>1069</v>
      </c>
      <c r="D12" t="s">
        <v>78</v>
      </c>
      <c r="F12" t="str">
        <f t="shared" si="0"/>
        <v>Oil_Pcts            &amp; Oil_Pcts</v>
      </c>
    </row>
    <row r="13" spans="1:6" x14ac:dyDescent="0.25">
      <c r="A13">
        <v>12</v>
      </c>
      <c r="B13" t="s">
        <v>156</v>
      </c>
      <c r="C13" t="s">
        <v>1069</v>
      </c>
      <c r="D13" t="s">
        <v>156</v>
      </c>
      <c r="F13" t="str">
        <f t="shared" si="0"/>
        <v>Food_proc            &amp; Food_proc</v>
      </c>
    </row>
    <row r="14" spans="1:6" x14ac:dyDescent="0.25">
      <c r="A14">
        <v>13</v>
      </c>
      <c r="B14" t="s">
        <v>157</v>
      </c>
      <c r="C14" t="s">
        <v>1069</v>
      </c>
      <c r="D14" t="s">
        <v>157</v>
      </c>
      <c r="F14" t="str">
        <f t="shared" si="0"/>
        <v>Light_Ind            &amp; Light_Ind</v>
      </c>
    </row>
    <row r="15" spans="1:6" x14ac:dyDescent="0.25">
      <c r="A15">
        <v>14</v>
      </c>
      <c r="B15" t="s">
        <v>77</v>
      </c>
      <c r="C15" t="s">
        <v>1069</v>
      </c>
      <c r="D15" t="s">
        <v>77</v>
      </c>
      <c r="F15" t="str">
        <f t="shared" si="0"/>
        <v>Heavy_ind            &amp; Heavy_ind</v>
      </c>
    </row>
    <row r="16" spans="1:6" x14ac:dyDescent="0.25">
      <c r="A16">
        <v>15</v>
      </c>
      <c r="B16" t="s">
        <v>57</v>
      </c>
      <c r="C16" t="s">
        <v>1069</v>
      </c>
      <c r="D16" t="s">
        <v>57</v>
      </c>
      <c r="F16" t="str">
        <f t="shared" si="0"/>
        <v>TnD            &amp; TnD</v>
      </c>
    </row>
    <row r="17" spans="1:6" x14ac:dyDescent="0.25">
      <c r="A17">
        <v>16</v>
      </c>
      <c r="B17" t="s">
        <v>1070</v>
      </c>
      <c r="C17" t="s">
        <v>1069</v>
      </c>
      <c r="D17" t="s">
        <v>1070</v>
      </c>
      <c r="F17" t="str">
        <f t="shared" si="0"/>
        <v>Clean_Ely            &amp; Clean_Ely</v>
      </c>
    </row>
    <row r="18" spans="1:6" x14ac:dyDescent="0.25">
      <c r="A18">
        <v>17</v>
      </c>
      <c r="B18" t="s">
        <v>173</v>
      </c>
      <c r="C18" t="s">
        <v>1069</v>
      </c>
      <c r="D18" t="s">
        <v>173</v>
      </c>
      <c r="F18" t="str">
        <f t="shared" si="0"/>
        <v>Fossil_Ely            &amp; Fossil_Ely</v>
      </c>
    </row>
    <row r="19" spans="1:6" x14ac:dyDescent="0.25">
      <c r="A19">
        <v>18</v>
      </c>
      <c r="B19" t="s">
        <v>79</v>
      </c>
      <c r="C19" t="s">
        <v>1069</v>
      </c>
      <c r="D19" t="s">
        <v>79</v>
      </c>
      <c r="F19" t="str">
        <f t="shared" si="0"/>
        <v>Construction            &amp; Construction</v>
      </c>
    </row>
    <row r="20" spans="1:6" x14ac:dyDescent="0.25">
      <c r="A20">
        <v>19</v>
      </c>
      <c r="B20" t="s">
        <v>208</v>
      </c>
      <c r="C20" t="s">
        <v>1069</v>
      </c>
      <c r="D20" t="s">
        <v>208</v>
      </c>
      <c r="F20" t="str">
        <f t="shared" si="0"/>
        <v>Trn            &amp; Trn</v>
      </c>
    </row>
    <row r="21" spans="1:6" x14ac:dyDescent="0.25">
      <c r="A21">
        <v>20</v>
      </c>
      <c r="B21" t="s">
        <v>198</v>
      </c>
      <c r="C21" t="s">
        <v>1069</v>
      </c>
      <c r="D21" t="s">
        <v>198</v>
      </c>
      <c r="F21" t="str">
        <f t="shared" si="0"/>
        <v>Insurance            &amp; Insurance</v>
      </c>
    </row>
    <row r="22" spans="1:6" x14ac:dyDescent="0.25">
      <c r="A22">
        <v>21</v>
      </c>
      <c r="B22" t="s">
        <v>160</v>
      </c>
      <c r="C22" t="s">
        <v>1069</v>
      </c>
      <c r="D22" t="s">
        <v>160</v>
      </c>
      <c r="F22" t="str">
        <f t="shared" si="0"/>
        <v>Mkt_Serv            &amp; Mkt_Serv</v>
      </c>
    </row>
    <row r="23" spans="1:6" x14ac:dyDescent="0.25">
      <c r="A23">
        <v>22</v>
      </c>
      <c r="B23" t="s">
        <v>159</v>
      </c>
      <c r="C23" t="s">
        <v>1069</v>
      </c>
      <c r="D23" t="s">
        <v>159</v>
      </c>
      <c r="F23" t="str">
        <f t="shared" si="0"/>
        <v>Pub_Serv            &amp; Pub_Serv</v>
      </c>
    </row>
    <row r="24" spans="1:6" x14ac:dyDescent="0.25">
      <c r="A24">
        <v>23</v>
      </c>
      <c r="B24" t="s">
        <v>158</v>
      </c>
      <c r="C24" t="s">
        <v>1069</v>
      </c>
      <c r="D24" t="s">
        <v>158</v>
      </c>
      <c r="F24" t="str">
        <f t="shared" si="0"/>
        <v>Health            &amp; Health</v>
      </c>
    </row>
    <row r="25" spans="1:6" x14ac:dyDescent="0.25">
      <c r="A25">
        <v>24</v>
      </c>
      <c r="B25" t="s">
        <v>155</v>
      </c>
      <c r="C25" t="s">
        <v>1069</v>
      </c>
      <c r="D25" t="s">
        <v>155</v>
      </c>
      <c r="F25" t="str">
        <f t="shared" si="0"/>
        <v>Dwellings            &amp; Dwellings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8EA-CC18-44E2-BED7-CEB201296D7A}">
  <dimension ref="A1:D76"/>
  <sheetViews>
    <sheetView workbookViewId="0">
      <selection activeCell="D11" sqref="D11"/>
    </sheetView>
  </sheetViews>
  <sheetFormatPr defaultRowHeight="15" x14ac:dyDescent="0.25"/>
  <sheetData>
    <row r="1" spans="1:4" x14ac:dyDescent="0.25">
      <c r="A1" t="s">
        <v>17</v>
      </c>
      <c r="B1" t="s">
        <v>84</v>
      </c>
      <c r="C1" t="s">
        <v>722</v>
      </c>
      <c r="D1" t="s">
        <v>17</v>
      </c>
    </row>
    <row r="2" spans="1:4" x14ac:dyDescent="0.25">
      <c r="A2" t="s">
        <v>18</v>
      </c>
      <c r="B2" t="s">
        <v>85</v>
      </c>
      <c r="C2" t="s">
        <v>722</v>
      </c>
      <c r="D2" t="s">
        <v>18</v>
      </c>
    </row>
    <row r="3" spans="1:4" x14ac:dyDescent="0.25">
      <c r="A3" t="s">
        <v>19</v>
      </c>
      <c r="B3" t="s">
        <v>86</v>
      </c>
      <c r="C3" t="s">
        <v>722</v>
      </c>
      <c r="D3" t="s">
        <v>19</v>
      </c>
    </row>
    <row r="4" spans="1:4" x14ac:dyDescent="0.25">
      <c r="A4" t="s">
        <v>20</v>
      </c>
      <c r="B4" t="s">
        <v>87</v>
      </c>
      <c r="C4" t="s">
        <v>722</v>
      </c>
      <c r="D4" t="s">
        <v>20</v>
      </c>
    </row>
    <row r="5" spans="1:4" x14ac:dyDescent="0.25">
      <c r="A5" t="s">
        <v>21</v>
      </c>
      <c r="B5" t="s">
        <v>88</v>
      </c>
      <c r="C5" t="s">
        <v>722</v>
      </c>
      <c r="D5" t="s">
        <v>21</v>
      </c>
    </row>
    <row r="6" spans="1:4" x14ac:dyDescent="0.25">
      <c r="A6" t="s">
        <v>22</v>
      </c>
      <c r="B6" t="s">
        <v>89</v>
      </c>
      <c r="C6" t="s">
        <v>722</v>
      </c>
      <c r="D6" t="s">
        <v>22</v>
      </c>
    </row>
    <row r="7" spans="1:4" x14ac:dyDescent="0.25">
      <c r="A7" t="s">
        <v>23</v>
      </c>
      <c r="B7" t="s">
        <v>90</v>
      </c>
      <c r="C7" t="s">
        <v>722</v>
      </c>
      <c r="D7" t="s">
        <v>23</v>
      </c>
    </row>
    <row r="8" spans="1:4" x14ac:dyDescent="0.25">
      <c r="A8" t="s">
        <v>24</v>
      </c>
      <c r="B8" t="s">
        <v>91</v>
      </c>
      <c r="C8" t="s">
        <v>722</v>
      </c>
      <c r="D8" t="s">
        <v>24</v>
      </c>
    </row>
    <row r="9" spans="1:4" x14ac:dyDescent="0.25">
      <c r="A9" t="s">
        <v>25</v>
      </c>
      <c r="B9" t="s">
        <v>723</v>
      </c>
      <c r="C9" t="s">
        <v>722</v>
      </c>
      <c r="D9" t="s">
        <v>25</v>
      </c>
    </row>
    <row r="10" spans="1:4" x14ac:dyDescent="0.25">
      <c r="A10" t="s">
        <v>26</v>
      </c>
      <c r="B10" t="s">
        <v>93</v>
      </c>
      <c r="C10" t="s">
        <v>722</v>
      </c>
      <c r="D10" t="s">
        <v>26</v>
      </c>
    </row>
    <row r="11" spans="1:4" x14ac:dyDescent="0.25">
      <c r="A11" t="s">
        <v>27</v>
      </c>
      <c r="B11" t="s">
        <v>94</v>
      </c>
      <c r="C11" t="s">
        <v>722</v>
      </c>
      <c r="D11" t="s">
        <v>27</v>
      </c>
    </row>
    <row r="12" spans="1:4" x14ac:dyDescent="0.25">
      <c r="A12" t="s">
        <v>28</v>
      </c>
      <c r="B12" t="s">
        <v>95</v>
      </c>
      <c r="C12" t="s">
        <v>722</v>
      </c>
      <c r="D12" t="s">
        <v>28</v>
      </c>
    </row>
    <row r="13" spans="1:4" x14ac:dyDescent="0.25">
      <c r="A13" t="s">
        <v>29</v>
      </c>
      <c r="B13" t="s">
        <v>96</v>
      </c>
      <c r="C13" t="s">
        <v>722</v>
      </c>
      <c r="D13" t="s">
        <v>29</v>
      </c>
    </row>
    <row r="14" spans="1:4" x14ac:dyDescent="0.25">
      <c r="A14" t="s">
        <v>30</v>
      </c>
      <c r="B14" t="s">
        <v>97</v>
      </c>
      <c r="C14" t="s">
        <v>722</v>
      </c>
      <c r="D14" t="s">
        <v>30</v>
      </c>
    </row>
    <row r="15" spans="1:4" x14ac:dyDescent="0.25">
      <c r="A15" t="s">
        <v>31</v>
      </c>
      <c r="B15" t="s">
        <v>75</v>
      </c>
      <c r="C15" t="s">
        <v>722</v>
      </c>
      <c r="D15" t="s">
        <v>31</v>
      </c>
    </row>
    <row r="16" spans="1:4" x14ac:dyDescent="0.25">
      <c r="A16" t="s">
        <v>32</v>
      </c>
      <c r="B16" t="s">
        <v>76</v>
      </c>
      <c r="C16" t="s">
        <v>722</v>
      </c>
      <c r="D16" t="s">
        <v>32</v>
      </c>
    </row>
    <row r="17" spans="1:4" x14ac:dyDescent="0.25">
      <c r="A17" t="s">
        <v>33</v>
      </c>
      <c r="B17" t="s">
        <v>98</v>
      </c>
      <c r="C17" t="s">
        <v>722</v>
      </c>
      <c r="D17" t="s">
        <v>33</v>
      </c>
    </row>
    <row r="18" spans="1:4" x14ac:dyDescent="0.25">
      <c r="A18" t="s">
        <v>99</v>
      </c>
      <c r="B18" t="s">
        <v>724</v>
      </c>
      <c r="C18" t="s">
        <v>722</v>
      </c>
      <c r="D18" t="s">
        <v>99</v>
      </c>
    </row>
    <row r="19" spans="1:4" x14ac:dyDescent="0.25">
      <c r="A19" t="s">
        <v>34</v>
      </c>
      <c r="B19" t="s">
        <v>101</v>
      </c>
      <c r="C19" t="s">
        <v>722</v>
      </c>
      <c r="D19" t="s">
        <v>34</v>
      </c>
    </row>
    <row r="20" spans="1:4" x14ac:dyDescent="0.25">
      <c r="A20" t="s">
        <v>35</v>
      </c>
      <c r="B20" t="s">
        <v>102</v>
      </c>
      <c r="C20" t="s">
        <v>722</v>
      </c>
      <c r="D20" t="s">
        <v>35</v>
      </c>
    </row>
    <row r="21" spans="1:4" x14ac:dyDescent="0.25">
      <c r="A21" t="s">
        <v>36</v>
      </c>
      <c r="B21" t="s">
        <v>103</v>
      </c>
      <c r="C21" t="s">
        <v>722</v>
      </c>
      <c r="D21" t="s">
        <v>36</v>
      </c>
    </row>
    <row r="22" spans="1:4" x14ac:dyDescent="0.25">
      <c r="A22" t="s">
        <v>37</v>
      </c>
      <c r="B22" t="s">
        <v>104</v>
      </c>
      <c r="C22" t="s">
        <v>722</v>
      </c>
      <c r="D22" t="s">
        <v>37</v>
      </c>
    </row>
    <row r="23" spans="1:4" x14ac:dyDescent="0.25">
      <c r="A23" t="s">
        <v>38</v>
      </c>
      <c r="B23" t="s">
        <v>105</v>
      </c>
      <c r="C23" t="s">
        <v>722</v>
      </c>
      <c r="D23" t="s">
        <v>38</v>
      </c>
    </row>
    <row r="24" spans="1:4" x14ac:dyDescent="0.25">
      <c r="A24" t="s">
        <v>39</v>
      </c>
      <c r="B24" t="s">
        <v>106</v>
      </c>
      <c r="C24" t="s">
        <v>722</v>
      </c>
      <c r="D24" t="s">
        <v>39</v>
      </c>
    </row>
    <row r="25" spans="1:4" x14ac:dyDescent="0.25">
      <c r="A25" t="s">
        <v>40</v>
      </c>
      <c r="B25" t="s">
        <v>107</v>
      </c>
      <c r="C25" t="s">
        <v>722</v>
      </c>
      <c r="D25" t="s">
        <v>40</v>
      </c>
    </row>
    <row r="26" spans="1:4" x14ac:dyDescent="0.25">
      <c r="A26" t="s">
        <v>41</v>
      </c>
      <c r="B26" t="s">
        <v>108</v>
      </c>
      <c r="C26" t="s">
        <v>722</v>
      </c>
      <c r="D26" t="s">
        <v>41</v>
      </c>
    </row>
    <row r="27" spans="1:4" x14ac:dyDescent="0.25">
      <c r="A27" t="s">
        <v>42</v>
      </c>
      <c r="B27" t="s">
        <v>109</v>
      </c>
      <c r="C27" t="s">
        <v>722</v>
      </c>
      <c r="D27" t="s">
        <v>42</v>
      </c>
    </row>
    <row r="28" spans="1:4" x14ac:dyDescent="0.25">
      <c r="A28" t="s">
        <v>43</v>
      </c>
      <c r="B28" t="s">
        <v>110</v>
      </c>
      <c r="C28" t="s">
        <v>722</v>
      </c>
      <c r="D28" t="s">
        <v>43</v>
      </c>
    </row>
    <row r="29" spans="1:4" x14ac:dyDescent="0.25">
      <c r="A29" t="s">
        <v>44</v>
      </c>
      <c r="B29" t="s">
        <v>111</v>
      </c>
      <c r="C29" t="s">
        <v>722</v>
      </c>
      <c r="D29" t="s">
        <v>44</v>
      </c>
    </row>
    <row r="30" spans="1:4" x14ac:dyDescent="0.25">
      <c r="A30" t="s">
        <v>45</v>
      </c>
      <c r="B30" t="s">
        <v>112</v>
      </c>
      <c r="C30" t="s">
        <v>722</v>
      </c>
      <c r="D30" t="s">
        <v>45</v>
      </c>
    </row>
    <row r="31" spans="1:4" x14ac:dyDescent="0.25">
      <c r="A31" t="s">
        <v>46</v>
      </c>
      <c r="B31" t="s">
        <v>113</v>
      </c>
      <c r="C31" t="s">
        <v>722</v>
      </c>
      <c r="D31" t="s">
        <v>46</v>
      </c>
    </row>
    <row r="32" spans="1:4" x14ac:dyDescent="0.25">
      <c r="A32" t="s">
        <v>47</v>
      </c>
      <c r="B32" t="s">
        <v>114</v>
      </c>
      <c r="C32" t="s">
        <v>722</v>
      </c>
      <c r="D32" t="s">
        <v>47</v>
      </c>
    </row>
    <row r="33" spans="1:4" x14ac:dyDescent="0.25">
      <c r="A33" t="s">
        <v>115</v>
      </c>
      <c r="B33" t="s">
        <v>116</v>
      </c>
      <c r="C33" t="s">
        <v>722</v>
      </c>
      <c r="D33" t="s">
        <v>115</v>
      </c>
    </row>
    <row r="34" spans="1:4" x14ac:dyDescent="0.25">
      <c r="A34" t="s">
        <v>117</v>
      </c>
      <c r="B34" t="s">
        <v>118</v>
      </c>
      <c r="C34" t="s">
        <v>722</v>
      </c>
      <c r="D34" t="s">
        <v>117</v>
      </c>
    </row>
    <row r="35" spans="1:4" x14ac:dyDescent="0.25">
      <c r="A35" t="s">
        <v>119</v>
      </c>
      <c r="B35" t="s">
        <v>120</v>
      </c>
      <c r="C35" t="s">
        <v>722</v>
      </c>
      <c r="D35" t="s">
        <v>119</v>
      </c>
    </row>
    <row r="36" spans="1:4" x14ac:dyDescent="0.25">
      <c r="A36" t="s">
        <v>48</v>
      </c>
      <c r="B36" t="s">
        <v>121</v>
      </c>
      <c r="C36" t="s">
        <v>722</v>
      </c>
      <c r="D36" t="s">
        <v>48</v>
      </c>
    </row>
    <row r="37" spans="1:4" x14ac:dyDescent="0.25">
      <c r="A37" t="s">
        <v>49</v>
      </c>
      <c r="B37" t="s">
        <v>122</v>
      </c>
      <c r="C37" t="s">
        <v>722</v>
      </c>
      <c r="D37" t="s">
        <v>49</v>
      </c>
    </row>
    <row r="38" spans="1:4" x14ac:dyDescent="0.25">
      <c r="A38" t="s">
        <v>50</v>
      </c>
      <c r="B38" t="s">
        <v>123</v>
      </c>
      <c r="C38" t="s">
        <v>722</v>
      </c>
      <c r="D38" t="s">
        <v>50</v>
      </c>
    </row>
    <row r="39" spans="1:4" x14ac:dyDescent="0.25">
      <c r="A39" t="s">
        <v>51</v>
      </c>
      <c r="B39" t="s">
        <v>124</v>
      </c>
      <c r="C39" t="s">
        <v>722</v>
      </c>
      <c r="D39" t="s">
        <v>51</v>
      </c>
    </row>
    <row r="40" spans="1:4" x14ac:dyDescent="0.25">
      <c r="A40" t="s">
        <v>54</v>
      </c>
      <c r="B40" t="s">
        <v>725</v>
      </c>
      <c r="C40" t="s">
        <v>722</v>
      </c>
      <c r="D40" t="s">
        <v>54</v>
      </c>
    </row>
    <row r="41" spans="1:4" x14ac:dyDescent="0.25">
      <c r="A41" t="s">
        <v>126</v>
      </c>
      <c r="B41" t="s">
        <v>127</v>
      </c>
      <c r="C41" t="s">
        <v>722</v>
      </c>
      <c r="D41" t="s">
        <v>126</v>
      </c>
    </row>
    <row r="42" spans="1:4" x14ac:dyDescent="0.25">
      <c r="A42" t="s">
        <v>55</v>
      </c>
      <c r="B42" t="s">
        <v>128</v>
      </c>
      <c r="C42" t="s">
        <v>722</v>
      </c>
      <c r="D42" t="s">
        <v>55</v>
      </c>
    </row>
    <row r="43" spans="1:4" x14ac:dyDescent="0.25">
      <c r="A43" t="s">
        <v>52</v>
      </c>
      <c r="B43" t="s">
        <v>129</v>
      </c>
      <c r="C43" t="s">
        <v>722</v>
      </c>
      <c r="D43" t="s">
        <v>52</v>
      </c>
    </row>
    <row r="44" spans="1:4" x14ac:dyDescent="0.25">
      <c r="A44" t="s">
        <v>53</v>
      </c>
      <c r="B44" t="s">
        <v>130</v>
      </c>
      <c r="C44" t="s">
        <v>722</v>
      </c>
      <c r="D44" t="s">
        <v>53</v>
      </c>
    </row>
    <row r="45" spans="1:4" x14ac:dyDescent="0.25">
      <c r="A45" t="s">
        <v>56</v>
      </c>
      <c r="B45" t="s">
        <v>131</v>
      </c>
      <c r="C45" t="s">
        <v>722</v>
      </c>
      <c r="D45" t="s">
        <v>56</v>
      </c>
    </row>
    <row r="46" spans="1:4" x14ac:dyDescent="0.25">
      <c r="A46" t="s">
        <v>57</v>
      </c>
      <c r="B46" t="s">
        <v>726</v>
      </c>
      <c r="C46" t="s">
        <v>722</v>
      </c>
      <c r="D46" t="s">
        <v>57</v>
      </c>
    </row>
    <row r="47" spans="1:4" x14ac:dyDescent="0.25">
      <c r="A47" t="s">
        <v>161</v>
      </c>
      <c r="B47" t="s">
        <v>727</v>
      </c>
      <c r="C47" t="s">
        <v>722</v>
      </c>
      <c r="D47" t="s">
        <v>161</v>
      </c>
    </row>
    <row r="48" spans="1:4" x14ac:dyDescent="0.25">
      <c r="A48" t="s">
        <v>162</v>
      </c>
      <c r="B48" t="s">
        <v>728</v>
      </c>
      <c r="C48" t="s">
        <v>722</v>
      </c>
      <c r="D48" t="s">
        <v>162</v>
      </c>
    </row>
    <row r="49" spans="1:4" x14ac:dyDescent="0.25">
      <c r="A49" t="s">
        <v>163</v>
      </c>
      <c r="B49" t="s">
        <v>729</v>
      </c>
      <c r="C49" t="s">
        <v>722</v>
      </c>
      <c r="D49" t="s">
        <v>163</v>
      </c>
    </row>
    <row r="50" spans="1:4" x14ac:dyDescent="0.25">
      <c r="A50" t="s">
        <v>164</v>
      </c>
      <c r="B50" t="s">
        <v>730</v>
      </c>
      <c r="C50" t="s">
        <v>722</v>
      </c>
      <c r="D50" t="s">
        <v>164</v>
      </c>
    </row>
    <row r="51" spans="1:4" x14ac:dyDescent="0.25">
      <c r="A51" t="s">
        <v>165</v>
      </c>
      <c r="B51" t="s">
        <v>731</v>
      </c>
      <c r="C51" t="s">
        <v>722</v>
      </c>
      <c r="D51" t="s">
        <v>165</v>
      </c>
    </row>
    <row r="52" spans="1:4" x14ac:dyDescent="0.25">
      <c r="A52" t="s">
        <v>166</v>
      </c>
      <c r="B52" t="s">
        <v>732</v>
      </c>
      <c r="C52" t="s">
        <v>722</v>
      </c>
      <c r="D52" t="s">
        <v>166</v>
      </c>
    </row>
    <row r="53" spans="1:4" x14ac:dyDescent="0.25">
      <c r="A53" t="s">
        <v>167</v>
      </c>
      <c r="B53" t="s">
        <v>733</v>
      </c>
      <c r="C53" t="s">
        <v>722</v>
      </c>
      <c r="D53" t="s">
        <v>167</v>
      </c>
    </row>
    <row r="54" spans="1:4" x14ac:dyDescent="0.25">
      <c r="A54" t="s">
        <v>168</v>
      </c>
      <c r="B54" t="s">
        <v>734</v>
      </c>
      <c r="C54" t="s">
        <v>722</v>
      </c>
      <c r="D54" t="s">
        <v>168</v>
      </c>
    </row>
    <row r="55" spans="1:4" x14ac:dyDescent="0.25">
      <c r="A55" t="s">
        <v>169</v>
      </c>
      <c r="B55" t="s">
        <v>735</v>
      </c>
      <c r="C55" t="s">
        <v>722</v>
      </c>
      <c r="D55" t="s">
        <v>169</v>
      </c>
    </row>
    <row r="56" spans="1:4" x14ac:dyDescent="0.25">
      <c r="A56" t="s">
        <v>170</v>
      </c>
      <c r="B56" t="s">
        <v>736</v>
      </c>
      <c r="C56" t="s">
        <v>722</v>
      </c>
      <c r="D56" t="s">
        <v>170</v>
      </c>
    </row>
    <row r="57" spans="1:4" x14ac:dyDescent="0.25">
      <c r="A57" t="s">
        <v>171</v>
      </c>
      <c r="B57" t="s">
        <v>737</v>
      </c>
      <c r="C57" t="s">
        <v>722</v>
      </c>
      <c r="D57" t="s">
        <v>171</v>
      </c>
    </row>
    <row r="58" spans="1:4" x14ac:dyDescent="0.25">
      <c r="A58" t="s">
        <v>58</v>
      </c>
      <c r="B58" t="s">
        <v>132</v>
      </c>
      <c r="C58" t="s">
        <v>722</v>
      </c>
      <c r="D58" t="s">
        <v>58</v>
      </c>
    </row>
    <row r="59" spans="1:4" x14ac:dyDescent="0.25">
      <c r="A59" t="s">
        <v>59</v>
      </c>
      <c r="B59" t="s">
        <v>133</v>
      </c>
      <c r="C59" t="s">
        <v>722</v>
      </c>
      <c r="D59" t="s">
        <v>59</v>
      </c>
    </row>
    <row r="60" spans="1:4" x14ac:dyDescent="0.25">
      <c r="A60" t="s">
        <v>60</v>
      </c>
      <c r="B60" t="s">
        <v>79</v>
      </c>
      <c r="C60" t="s">
        <v>722</v>
      </c>
      <c r="D60" t="s">
        <v>60</v>
      </c>
    </row>
    <row r="61" spans="1:4" x14ac:dyDescent="0.25">
      <c r="A61" t="s">
        <v>61</v>
      </c>
      <c r="B61" t="s">
        <v>134</v>
      </c>
      <c r="C61" t="s">
        <v>722</v>
      </c>
      <c r="D61" t="s">
        <v>61</v>
      </c>
    </row>
    <row r="62" spans="1:4" x14ac:dyDescent="0.25">
      <c r="A62" t="s">
        <v>135</v>
      </c>
      <c r="B62" t="s">
        <v>738</v>
      </c>
      <c r="C62" t="s">
        <v>722</v>
      </c>
      <c r="D62" t="s">
        <v>135</v>
      </c>
    </row>
    <row r="63" spans="1:4" x14ac:dyDescent="0.25">
      <c r="A63" t="s">
        <v>62</v>
      </c>
      <c r="B63" t="s">
        <v>137</v>
      </c>
      <c r="C63" t="s">
        <v>722</v>
      </c>
      <c r="D63" t="s">
        <v>62</v>
      </c>
    </row>
    <row r="64" spans="1:4" x14ac:dyDescent="0.25">
      <c r="A64" t="s">
        <v>63</v>
      </c>
      <c r="B64" t="s">
        <v>138</v>
      </c>
      <c r="C64" t="s">
        <v>722</v>
      </c>
      <c r="D64" t="s">
        <v>63</v>
      </c>
    </row>
    <row r="65" spans="1:4" x14ac:dyDescent="0.25">
      <c r="A65" t="s">
        <v>64</v>
      </c>
      <c r="B65" t="s">
        <v>139</v>
      </c>
      <c r="C65" t="s">
        <v>722</v>
      </c>
      <c r="D65" t="s">
        <v>64</v>
      </c>
    </row>
    <row r="66" spans="1:4" x14ac:dyDescent="0.25">
      <c r="A66" t="s">
        <v>140</v>
      </c>
      <c r="B66" t="s">
        <v>739</v>
      </c>
      <c r="C66" t="s">
        <v>722</v>
      </c>
      <c r="D66" t="s">
        <v>140</v>
      </c>
    </row>
    <row r="67" spans="1:4" x14ac:dyDescent="0.25">
      <c r="A67" t="s">
        <v>65</v>
      </c>
      <c r="B67" t="s">
        <v>142</v>
      </c>
      <c r="C67" t="s">
        <v>722</v>
      </c>
      <c r="D67" t="s">
        <v>65</v>
      </c>
    </row>
    <row r="68" spans="1:4" x14ac:dyDescent="0.25">
      <c r="A68" t="s">
        <v>66</v>
      </c>
      <c r="B68" t="s">
        <v>143</v>
      </c>
      <c r="C68" t="s">
        <v>722</v>
      </c>
      <c r="D68" t="s">
        <v>66</v>
      </c>
    </row>
    <row r="69" spans="1:4" x14ac:dyDescent="0.25">
      <c r="A69" t="s">
        <v>144</v>
      </c>
      <c r="B69" t="s">
        <v>198</v>
      </c>
      <c r="C69" t="s">
        <v>722</v>
      </c>
      <c r="D69" t="s">
        <v>144</v>
      </c>
    </row>
    <row r="70" spans="1:4" x14ac:dyDescent="0.25">
      <c r="A70" t="s">
        <v>146</v>
      </c>
      <c r="B70" t="s">
        <v>147</v>
      </c>
      <c r="C70" t="s">
        <v>722</v>
      </c>
      <c r="D70" t="s">
        <v>146</v>
      </c>
    </row>
    <row r="71" spans="1:4" x14ac:dyDescent="0.25">
      <c r="A71" t="s">
        <v>67</v>
      </c>
      <c r="B71" t="s">
        <v>148</v>
      </c>
      <c r="C71" t="s">
        <v>722</v>
      </c>
      <c r="D71" t="s">
        <v>67</v>
      </c>
    </row>
    <row r="72" spans="1:4" x14ac:dyDescent="0.25">
      <c r="A72" t="s">
        <v>68</v>
      </c>
      <c r="B72" t="s">
        <v>740</v>
      </c>
      <c r="C72" t="s">
        <v>722</v>
      </c>
      <c r="D72" t="s">
        <v>68</v>
      </c>
    </row>
    <row r="73" spans="1:4" x14ac:dyDescent="0.25">
      <c r="A73" t="s">
        <v>69</v>
      </c>
      <c r="B73" t="s">
        <v>741</v>
      </c>
      <c r="C73" t="s">
        <v>722</v>
      </c>
      <c r="D73" t="s">
        <v>69</v>
      </c>
    </row>
    <row r="74" spans="1:4" x14ac:dyDescent="0.25">
      <c r="A74" t="s">
        <v>151</v>
      </c>
      <c r="B74" t="s">
        <v>152</v>
      </c>
      <c r="C74" t="s">
        <v>722</v>
      </c>
      <c r="D74" t="s">
        <v>151</v>
      </c>
    </row>
    <row r="75" spans="1:4" x14ac:dyDescent="0.25">
      <c r="A75" t="s">
        <v>153</v>
      </c>
      <c r="B75" t="s">
        <v>742</v>
      </c>
      <c r="C75" t="s">
        <v>722</v>
      </c>
      <c r="D75" t="s">
        <v>153</v>
      </c>
    </row>
    <row r="76" spans="1:4" x14ac:dyDescent="0.25">
      <c r="A76" t="s">
        <v>70</v>
      </c>
      <c r="B76" t="s">
        <v>155</v>
      </c>
      <c r="C76" t="s">
        <v>722</v>
      </c>
      <c r="D7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F846-C05A-476F-8D5F-4C85BCFA149D}">
  <dimension ref="A1:H76"/>
  <sheetViews>
    <sheetView topLeftCell="A47" workbookViewId="0">
      <selection activeCell="G1" sqref="G1:G76"/>
    </sheetView>
  </sheetViews>
  <sheetFormatPr defaultRowHeight="15" x14ac:dyDescent="0.25"/>
  <cols>
    <col min="6" max="6" width="10.7109375" customWidth="1"/>
    <col min="7" max="7" width="9.140625" style="4"/>
    <col min="8" max="8" width="40.5703125" style="4" customWidth="1"/>
  </cols>
  <sheetData>
    <row r="1" spans="1:7" x14ac:dyDescent="0.25">
      <c r="A1" t="s">
        <v>17</v>
      </c>
      <c r="B1" t="s">
        <v>1068</v>
      </c>
      <c r="C1" t="s">
        <v>84</v>
      </c>
      <c r="D1" t="s">
        <v>1073</v>
      </c>
      <c r="E1" t="s">
        <v>197</v>
      </c>
      <c r="G1" s="4" t="str">
        <f>A1&amp;D1&amp;E1</f>
        <v>pdr       &amp;      Cereals</v>
      </c>
    </row>
    <row r="2" spans="1:7" x14ac:dyDescent="0.25">
      <c r="A2" t="s">
        <v>18</v>
      </c>
      <c r="B2" t="s">
        <v>1068</v>
      </c>
      <c r="C2" t="s">
        <v>85</v>
      </c>
      <c r="D2" t="s">
        <v>1073</v>
      </c>
      <c r="E2" t="s">
        <v>197</v>
      </c>
      <c r="G2" s="4" t="str">
        <f t="shared" ref="G2:G65" si="0">A2&amp;D2&amp;E2</f>
        <v>wht       &amp;      Cereals</v>
      </c>
    </row>
    <row r="3" spans="1:7" x14ac:dyDescent="0.25">
      <c r="A3" t="s">
        <v>19</v>
      </c>
      <c r="B3" t="s">
        <v>1068</v>
      </c>
      <c r="C3" t="s">
        <v>86</v>
      </c>
      <c r="D3" t="s">
        <v>1073</v>
      </c>
      <c r="E3" t="s">
        <v>197</v>
      </c>
      <c r="G3" s="4" t="str">
        <f t="shared" si="0"/>
        <v>gro       &amp;      Cereals</v>
      </c>
    </row>
    <row r="4" spans="1:7" x14ac:dyDescent="0.25">
      <c r="A4" t="s">
        <v>20</v>
      </c>
      <c r="B4" t="s">
        <v>1068</v>
      </c>
      <c r="C4" t="s">
        <v>87</v>
      </c>
      <c r="D4" t="s">
        <v>1073</v>
      </c>
      <c r="E4" t="s">
        <v>71</v>
      </c>
      <c r="G4" s="4" t="str">
        <f t="shared" si="0"/>
        <v>v_f       &amp;      Oth_Crops</v>
      </c>
    </row>
    <row r="5" spans="1:7" x14ac:dyDescent="0.25">
      <c r="A5" t="s">
        <v>21</v>
      </c>
      <c r="B5" t="s">
        <v>1068</v>
      </c>
      <c r="C5" t="s">
        <v>88</v>
      </c>
      <c r="D5" t="s">
        <v>1073</v>
      </c>
      <c r="E5" t="s">
        <v>1074</v>
      </c>
      <c r="G5" s="4" t="str">
        <f t="shared" si="0"/>
        <v>osd       &amp;      Oilseeds</v>
      </c>
    </row>
    <row r="6" spans="1:7" x14ac:dyDescent="0.25">
      <c r="A6" t="s">
        <v>22</v>
      </c>
      <c r="B6" t="s">
        <v>1068</v>
      </c>
      <c r="C6" t="s">
        <v>89</v>
      </c>
      <c r="D6" t="s">
        <v>1073</v>
      </c>
      <c r="E6" t="s">
        <v>106</v>
      </c>
      <c r="G6" s="4" t="str">
        <f t="shared" si="0"/>
        <v>c_b       &amp;      Sugar</v>
      </c>
    </row>
    <row r="7" spans="1:7" x14ac:dyDescent="0.25">
      <c r="A7" t="s">
        <v>23</v>
      </c>
      <c r="B7" t="s">
        <v>1068</v>
      </c>
      <c r="C7" t="s">
        <v>90</v>
      </c>
      <c r="D7" t="s">
        <v>1073</v>
      </c>
      <c r="E7" t="s">
        <v>71</v>
      </c>
      <c r="G7" s="4" t="str">
        <f t="shared" si="0"/>
        <v>pfb       &amp;      Oth_Crops</v>
      </c>
    </row>
    <row r="8" spans="1:7" x14ac:dyDescent="0.25">
      <c r="A8" t="s">
        <v>24</v>
      </c>
      <c r="B8" t="s">
        <v>1068</v>
      </c>
      <c r="C8" t="s">
        <v>91</v>
      </c>
      <c r="D8" t="s">
        <v>1073</v>
      </c>
      <c r="E8" t="s">
        <v>71</v>
      </c>
      <c r="G8" s="4" t="str">
        <f t="shared" si="0"/>
        <v>ocr       &amp;      Oth_Crops</v>
      </c>
    </row>
    <row r="9" spans="1:7" x14ac:dyDescent="0.25">
      <c r="A9" t="s">
        <v>25</v>
      </c>
      <c r="B9" t="s">
        <v>1068</v>
      </c>
      <c r="C9" t="s">
        <v>723</v>
      </c>
      <c r="D9" t="s">
        <v>1073</v>
      </c>
      <c r="E9" t="s">
        <v>72</v>
      </c>
      <c r="G9" s="4" t="str">
        <f t="shared" si="0"/>
        <v>ctl       &amp;      Livestock</v>
      </c>
    </row>
    <row r="10" spans="1:7" x14ac:dyDescent="0.25">
      <c r="A10" t="s">
        <v>26</v>
      </c>
      <c r="B10" t="s">
        <v>1068</v>
      </c>
      <c r="C10" t="s">
        <v>93</v>
      </c>
      <c r="D10" t="s">
        <v>1073</v>
      </c>
      <c r="E10" t="s">
        <v>72</v>
      </c>
      <c r="G10" s="4" t="str">
        <f t="shared" si="0"/>
        <v>oap       &amp;      Livestock</v>
      </c>
    </row>
    <row r="11" spans="1:7" x14ac:dyDescent="0.25">
      <c r="A11" t="s">
        <v>27</v>
      </c>
      <c r="B11" t="s">
        <v>1068</v>
      </c>
      <c r="C11" t="s">
        <v>94</v>
      </c>
      <c r="D11" t="s">
        <v>1073</v>
      </c>
      <c r="E11" t="s">
        <v>72</v>
      </c>
      <c r="G11" s="4" t="str">
        <f t="shared" si="0"/>
        <v>rmk       &amp;      Livestock</v>
      </c>
    </row>
    <row r="12" spans="1:7" x14ac:dyDescent="0.25">
      <c r="A12" t="s">
        <v>28</v>
      </c>
      <c r="B12" t="s">
        <v>1068</v>
      </c>
      <c r="C12" t="s">
        <v>95</v>
      </c>
      <c r="D12" t="s">
        <v>1073</v>
      </c>
      <c r="E12" t="s">
        <v>71</v>
      </c>
      <c r="G12" s="4" t="str">
        <f t="shared" si="0"/>
        <v>wol       &amp;      Oth_Crops</v>
      </c>
    </row>
    <row r="13" spans="1:7" x14ac:dyDescent="0.25">
      <c r="A13" t="s">
        <v>29</v>
      </c>
      <c r="B13" t="s">
        <v>1068</v>
      </c>
      <c r="C13" t="s">
        <v>96</v>
      </c>
      <c r="D13" t="s">
        <v>1073</v>
      </c>
      <c r="E13" t="s">
        <v>73</v>
      </c>
      <c r="G13" s="4" t="str">
        <f t="shared" si="0"/>
        <v>frs       &amp;      Timber</v>
      </c>
    </row>
    <row r="14" spans="1:7" x14ac:dyDescent="0.25">
      <c r="A14" t="s">
        <v>30</v>
      </c>
      <c r="B14" t="s">
        <v>1068</v>
      </c>
      <c r="C14" t="s">
        <v>97</v>
      </c>
      <c r="D14" t="s">
        <v>1073</v>
      </c>
      <c r="E14" t="s">
        <v>74</v>
      </c>
      <c r="G14" s="4" t="str">
        <f t="shared" si="0"/>
        <v>fsh       &amp;      Fishery</v>
      </c>
    </row>
    <row r="15" spans="1:7" x14ac:dyDescent="0.25">
      <c r="A15" t="s">
        <v>31</v>
      </c>
      <c r="B15" t="s">
        <v>1068</v>
      </c>
      <c r="C15" t="s">
        <v>75</v>
      </c>
      <c r="D15" t="s">
        <v>1073</v>
      </c>
      <c r="E15" t="s">
        <v>75</v>
      </c>
      <c r="G15" s="4" t="str">
        <f t="shared" si="0"/>
        <v>coa       &amp;      Coal</v>
      </c>
    </row>
    <row r="16" spans="1:7" x14ac:dyDescent="0.25">
      <c r="A16" t="s">
        <v>32</v>
      </c>
      <c r="B16" t="s">
        <v>1068</v>
      </c>
      <c r="C16" t="s">
        <v>76</v>
      </c>
      <c r="D16" t="s">
        <v>1073</v>
      </c>
      <c r="E16" t="s">
        <v>76</v>
      </c>
      <c r="G16" s="4" t="str">
        <f t="shared" si="0"/>
        <v>oil       &amp;      Oil</v>
      </c>
    </row>
    <row r="17" spans="1:7" x14ac:dyDescent="0.25">
      <c r="A17" t="s">
        <v>33</v>
      </c>
      <c r="B17" t="s">
        <v>1068</v>
      </c>
      <c r="C17" t="s">
        <v>98</v>
      </c>
      <c r="D17" t="s">
        <v>1073</v>
      </c>
      <c r="E17" t="s">
        <v>98</v>
      </c>
      <c r="G17" s="4" t="str">
        <f t="shared" si="0"/>
        <v>gas       &amp;      Gas</v>
      </c>
    </row>
    <row r="18" spans="1:7" x14ac:dyDescent="0.25">
      <c r="A18" t="s">
        <v>99</v>
      </c>
      <c r="B18" t="s">
        <v>1068</v>
      </c>
      <c r="C18" t="s">
        <v>724</v>
      </c>
      <c r="D18" t="s">
        <v>1073</v>
      </c>
      <c r="E18" t="s">
        <v>77</v>
      </c>
      <c r="G18" s="4" t="str">
        <f t="shared" si="0"/>
        <v>oxt       &amp;      Heavy_ind</v>
      </c>
    </row>
    <row r="19" spans="1:7" x14ac:dyDescent="0.25">
      <c r="A19" t="s">
        <v>34</v>
      </c>
      <c r="B19" t="s">
        <v>1068</v>
      </c>
      <c r="C19" t="s">
        <v>101</v>
      </c>
      <c r="D19" t="s">
        <v>1073</v>
      </c>
      <c r="E19" t="s">
        <v>156</v>
      </c>
      <c r="G19" s="4" t="str">
        <f t="shared" si="0"/>
        <v>cmt       &amp;      Food_proc</v>
      </c>
    </row>
    <row r="20" spans="1:7" x14ac:dyDescent="0.25">
      <c r="A20" t="s">
        <v>35</v>
      </c>
      <c r="B20" t="s">
        <v>1068</v>
      </c>
      <c r="C20" t="s">
        <v>102</v>
      </c>
      <c r="D20" t="s">
        <v>1073</v>
      </c>
      <c r="E20" t="s">
        <v>156</v>
      </c>
      <c r="G20" s="4" t="str">
        <f t="shared" si="0"/>
        <v>omt       &amp;      Food_proc</v>
      </c>
    </row>
    <row r="21" spans="1:7" x14ac:dyDescent="0.25">
      <c r="A21" t="s">
        <v>36</v>
      </c>
      <c r="B21" t="s">
        <v>1068</v>
      </c>
      <c r="C21" t="s">
        <v>103</v>
      </c>
      <c r="D21" t="s">
        <v>1073</v>
      </c>
      <c r="E21" t="s">
        <v>156</v>
      </c>
      <c r="G21" s="4" t="str">
        <f t="shared" si="0"/>
        <v>vol       &amp;      Food_proc</v>
      </c>
    </row>
    <row r="22" spans="1:7" x14ac:dyDescent="0.25">
      <c r="A22" t="s">
        <v>37</v>
      </c>
      <c r="B22" t="s">
        <v>1068</v>
      </c>
      <c r="C22" t="s">
        <v>104</v>
      </c>
      <c r="D22" t="s">
        <v>1073</v>
      </c>
      <c r="E22" t="s">
        <v>156</v>
      </c>
      <c r="G22" s="4" t="str">
        <f t="shared" si="0"/>
        <v>mil       &amp;      Food_proc</v>
      </c>
    </row>
    <row r="23" spans="1:7" x14ac:dyDescent="0.25">
      <c r="A23" t="s">
        <v>38</v>
      </c>
      <c r="B23" t="s">
        <v>1068</v>
      </c>
      <c r="C23" t="s">
        <v>105</v>
      </c>
      <c r="D23" t="s">
        <v>1073</v>
      </c>
      <c r="E23" t="s">
        <v>156</v>
      </c>
      <c r="G23" s="4" t="str">
        <f t="shared" si="0"/>
        <v>pcr       &amp;      Food_proc</v>
      </c>
    </row>
    <row r="24" spans="1:7" x14ac:dyDescent="0.25">
      <c r="A24" t="s">
        <v>39</v>
      </c>
      <c r="B24" t="s">
        <v>1068</v>
      </c>
      <c r="C24" t="s">
        <v>106</v>
      </c>
      <c r="D24" t="s">
        <v>1073</v>
      </c>
      <c r="E24" t="s">
        <v>156</v>
      </c>
      <c r="G24" s="4" t="str">
        <f t="shared" si="0"/>
        <v>sgr       &amp;      Food_proc</v>
      </c>
    </row>
    <row r="25" spans="1:7" x14ac:dyDescent="0.25">
      <c r="A25" t="s">
        <v>40</v>
      </c>
      <c r="B25" t="s">
        <v>1068</v>
      </c>
      <c r="C25" t="s">
        <v>107</v>
      </c>
      <c r="D25" t="s">
        <v>1073</v>
      </c>
      <c r="E25" t="s">
        <v>156</v>
      </c>
      <c r="G25" s="4" t="str">
        <f t="shared" si="0"/>
        <v>ofd       &amp;      Food_proc</v>
      </c>
    </row>
    <row r="26" spans="1:7" x14ac:dyDescent="0.25">
      <c r="A26" t="s">
        <v>41</v>
      </c>
      <c r="B26" t="s">
        <v>1068</v>
      </c>
      <c r="C26" t="s">
        <v>108</v>
      </c>
      <c r="D26" t="s">
        <v>1073</v>
      </c>
      <c r="E26" t="s">
        <v>156</v>
      </c>
      <c r="G26" s="4" t="str">
        <f t="shared" si="0"/>
        <v>b_t       &amp;      Food_proc</v>
      </c>
    </row>
    <row r="27" spans="1:7" x14ac:dyDescent="0.25">
      <c r="A27" t="s">
        <v>42</v>
      </c>
      <c r="B27" t="s">
        <v>1068</v>
      </c>
      <c r="C27" t="s">
        <v>109</v>
      </c>
      <c r="D27" t="s">
        <v>1073</v>
      </c>
      <c r="E27" t="s">
        <v>157</v>
      </c>
      <c r="G27" s="4" t="str">
        <f t="shared" si="0"/>
        <v>tex       &amp;      Light_Ind</v>
      </c>
    </row>
    <row r="28" spans="1:7" x14ac:dyDescent="0.25">
      <c r="A28" t="s">
        <v>43</v>
      </c>
      <c r="B28" t="s">
        <v>1068</v>
      </c>
      <c r="C28" t="s">
        <v>110</v>
      </c>
      <c r="D28" t="s">
        <v>1073</v>
      </c>
      <c r="E28" t="s">
        <v>157</v>
      </c>
      <c r="G28" s="4" t="str">
        <f t="shared" si="0"/>
        <v>wap       &amp;      Light_Ind</v>
      </c>
    </row>
    <row r="29" spans="1:7" x14ac:dyDescent="0.25">
      <c r="A29" t="s">
        <v>44</v>
      </c>
      <c r="B29" t="s">
        <v>1068</v>
      </c>
      <c r="C29" t="s">
        <v>111</v>
      </c>
      <c r="D29" t="s">
        <v>1073</v>
      </c>
      <c r="E29" t="s">
        <v>157</v>
      </c>
      <c r="G29" s="4" t="str">
        <f t="shared" si="0"/>
        <v>lea       &amp;      Light_Ind</v>
      </c>
    </row>
    <row r="30" spans="1:7" x14ac:dyDescent="0.25">
      <c r="A30" t="s">
        <v>45</v>
      </c>
      <c r="B30" t="s">
        <v>1068</v>
      </c>
      <c r="C30" t="s">
        <v>112</v>
      </c>
      <c r="D30" t="s">
        <v>1073</v>
      </c>
      <c r="E30" t="s">
        <v>157</v>
      </c>
      <c r="G30" s="4" t="str">
        <f t="shared" si="0"/>
        <v>lum       &amp;      Light_Ind</v>
      </c>
    </row>
    <row r="31" spans="1:7" x14ac:dyDescent="0.25">
      <c r="A31" t="s">
        <v>46</v>
      </c>
      <c r="B31" t="s">
        <v>1068</v>
      </c>
      <c r="C31" t="s">
        <v>113</v>
      </c>
      <c r="D31" t="s">
        <v>1073</v>
      </c>
      <c r="E31" t="s">
        <v>157</v>
      </c>
      <c r="G31" s="4" t="str">
        <f t="shared" si="0"/>
        <v>ppp       &amp;      Light_Ind</v>
      </c>
    </row>
    <row r="32" spans="1:7" x14ac:dyDescent="0.25">
      <c r="A32" t="s">
        <v>47</v>
      </c>
      <c r="B32" t="s">
        <v>1068</v>
      </c>
      <c r="C32" t="s">
        <v>114</v>
      </c>
      <c r="D32" t="s">
        <v>1073</v>
      </c>
      <c r="E32" t="s">
        <v>78</v>
      </c>
      <c r="G32" s="4" t="str">
        <f t="shared" si="0"/>
        <v>p_c       &amp;      Oil_Pcts</v>
      </c>
    </row>
    <row r="33" spans="1:7" x14ac:dyDescent="0.25">
      <c r="A33" t="s">
        <v>115</v>
      </c>
      <c r="B33" t="s">
        <v>1068</v>
      </c>
      <c r="C33" t="s">
        <v>116</v>
      </c>
      <c r="D33" t="s">
        <v>1073</v>
      </c>
      <c r="E33" t="s">
        <v>77</v>
      </c>
      <c r="G33" s="4" t="str">
        <f t="shared" si="0"/>
        <v>chm       &amp;      Heavy_ind</v>
      </c>
    </row>
    <row r="34" spans="1:7" x14ac:dyDescent="0.25">
      <c r="A34" t="s">
        <v>117</v>
      </c>
      <c r="B34" t="s">
        <v>1068</v>
      </c>
      <c r="C34" t="s">
        <v>118</v>
      </c>
      <c r="D34" t="s">
        <v>1073</v>
      </c>
      <c r="E34" t="s">
        <v>77</v>
      </c>
      <c r="G34" s="4" t="str">
        <f t="shared" si="0"/>
        <v>bph       &amp;      Heavy_ind</v>
      </c>
    </row>
    <row r="35" spans="1:7" x14ac:dyDescent="0.25">
      <c r="A35" t="s">
        <v>119</v>
      </c>
      <c r="B35" t="s">
        <v>1068</v>
      </c>
      <c r="C35" t="s">
        <v>120</v>
      </c>
      <c r="D35" t="s">
        <v>1073</v>
      </c>
      <c r="E35" t="s">
        <v>77</v>
      </c>
      <c r="G35" s="4" t="str">
        <f t="shared" si="0"/>
        <v>rpp       &amp;      Heavy_ind</v>
      </c>
    </row>
    <row r="36" spans="1:7" x14ac:dyDescent="0.25">
      <c r="A36" t="s">
        <v>48</v>
      </c>
      <c r="B36" t="s">
        <v>1068</v>
      </c>
      <c r="C36" t="s">
        <v>121</v>
      </c>
      <c r="D36" t="s">
        <v>1073</v>
      </c>
      <c r="E36" t="s">
        <v>77</v>
      </c>
      <c r="G36" s="4" t="str">
        <f t="shared" si="0"/>
        <v>nmm       &amp;      Heavy_ind</v>
      </c>
    </row>
    <row r="37" spans="1:7" x14ac:dyDescent="0.25">
      <c r="A37" t="s">
        <v>49</v>
      </c>
      <c r="B37" t="s">
        <v>1068</v>
      </c>
      <c r="C37" t="s">
        <v>122</v>
      </c>
      <c r="D37" t="s">
        <v>1073</v>
      </c>
      <c r="E37" t="s">
        <v>77</v>
      </c>
      <c r="G37" s="4" t="str">
        <f t="shared" si="0"/>
        <v>i_s       &amp;      Heavy_ind</v>
      </c>
    </row>
    <row r="38" spans="1:7" x14ac:dyDescent="0.25">
      <c r="A38" t="s">
        <v>50</v>
      </c>
      <c r="B38" t="s">
        <v>1068</v>
      </c>
      <c r="C38" t="s">
        <v>123</v>
      </c>
      <c r="D38" t="s">
        <v>1073</v>
      </c>
      <c r="E38" t="s">
        <v>77</v>
      </c>
      <c r="G38" s="4" t="str">
        <f t="shared" si="0"/>
        <v>nfm       &amp;      Heavy_ind</v>
      </c>
    </row>
    <row r="39" spans="1:7" x14ac:dyDescent="0.25">
      <c r="A39" t="s">
        <v>51</v>
      </c>
      <c r="B39" t="s">
        <v>1068</v>
      </c>
      <c r="C39" t="s">
        <v>124</v>
      </c>
      <c r="D39" t="s">
        <v>1073</v>
      </c>
      <c r="E39" t="s">
        <v>77</v>
      </c>
      <c r="G39" s="4" t="str">
        <f t="shared" si="0"/>
        <v>fmp       &amp;      Heavy_ind</v>
      </c>
    </row>
    <row r="40" spans="1:7" x14ac:dyDescent="0.25">
      <c r="A40" t="s">
        <v>54</v>
      </c>
      <c r="B40" t="s">
        <v>1068</v>
      </c>
      <c r="C40" t="s">
        <v>725</v>
      </c>
      <c r="D40" t="s">
        <v>1073</v>
      </c>
      <c r="E40" t="s">
        <v>77</v>
      </c>
      <c r="G40" s="4" t="str">
        <f t="shared" si="0"/>
        <v>ele       &amp;      Heavy_ind</v>
      </c>
    </row>
    <row r="41" spans="1:7" x14ac:dyDescent="0.25">
      <c r="A41" t="s">
        <v>126</v>
      </c>
      <c r="B41" t="s">
        <v>1068</v>
      </c>
      <c r="C41" t="s">
        <v>127</v>
      </c>
      <c r="D41" t="s">
        <v>1073</v>
      </c>
      <c r="E41" t="s">
        <v>77</v>
      </c>
      <c r="G41" s="4" t="str">
        <f t="shared" si="0"/>
        <v>eeq       &amp;      Heavy_ind</v>
      </c>
    </row>
    <row r="42" spans="1:7" x14ac:dyDescent="0.25">
      <c r="A42" t="s">
        <v>55</v>
      </c>
      <c r="B42" t="s">
        <v>1068</v>
      </c>
      <c r="C42" t="s">
        <v>128</v>
      </c>
      <c r="D42" t="s">
        <v>1073</v>
      </c>
      <c r="E42" t="s">
        <v>77</v>
      </c>
      <c r="G42" s="4" t="str">
        <f t="shared" si="0"/>
        <v>ome       &amp;      Heavy_ind</v>
      </c>
    </row>
    <row r="43" spans="1:7" x14ac:dyDescent="0.25">
      <c r="A43" t="s">
        <v>52</v>
      </c>
      <c r="B43" t="s">
        <v>1068</v>
      </c>
      <c r="C43" t="s">
        <v>129</v>
      </c>
      <c r="D43" t="s">
        <v>1073</v>
      </c>
      <c r="E43" t="s">
        <v>77</v>
      </c>
      <c r="G43" s="4" t="str">
        <f t="shared" si="0"/>
        <v>mvh       &amp;      Heavy_ind</v>
      </c>
    </row>
    <row r="44" spans="1:7" x14ac:dyDescent="0.25">
      <c r="A44" t="s">
        <v>53</v>
      </c>
      <c r="B44" t="s">
        <v>1068</v>
      </c>
      <c r="C44" t="s">
        <v>130</v>
      </c>
      <c r="D44" t="s">
        <v>1073</v>
      </c>
      <c r="E44" t="s">
        <v>77</v>
      </c>
      <c r="G44" s="4" t="str">
        <f t="shared" si="0"/>
        <v>otn       &amp;      Heavy_ind</v>
      </c>
    </row>
    <row r="45" spans="1:7" x14ac:dyDescent="0.25">
      <c r="A45" t="s">
        <v>56</v>
      </c>
      <c r="B45" t="s">
        <v>1068</v>
      </c>
      <c r="C45" t="s">
        <v>131</v>
      </c>
      <c r="D45" t="s">
        <v>1073</v>
      </c>
      <c r="E45" t="s">
        <v>77</v>
      </c>
      <c r="G45" s="4" t="str">
        <f t="shared" si="0"/>
        <v>omf       &amp;      Heavy_ind</v>
      </c>
    </row>
    <row r="46" spans="1:7" x14ac:dyDescent="0.25">
      <c r="A46" t="s">
        <v>57</v>
      </c>
      <c r="B46" t="s">
        <v>1068</v>
      </c>
      <c r="C46" t="s">
        <v>726</v>
      </c>
      <c r="D46" t="s">
        <v>1073</v>
      </c>
      <c r="E46" t="s">
        <v>57</v>
      </c>
      <c r="G46" s="4" t="str">
        <f t="shared" si="0"/>
        <v>TnD       &amp;      TnD</v>
      </c>
    </row>
    <row r="47" spans="1:7" x14ac:dyDescent="0.25">
      <c r="A47" t="s">
        <v>161</v>
      </c>
      <c r="B47" t="s">
        <v>1068</v>
      </c>
      <c r="C47" t="s">
        <v>727</v>
      </c>
      <c r="D47" t="s">
        <v>1073</v>
      </c>
      <c r="E47" t="s">
        <v>1070</v>
      </c>
      <c r="G47" s="4" t="str">
        <f t="shared" si="0"/>
        <v>NuclearBL       &amp;      Clean_Ely</v>
      </c>
    </row>
    <row r="48" spans="1:7" x14ac:dyDescent="0.25">
      <c r="A48" t="s">
        <v>162</v>
      </c>
      <c r="B48" t="s">
        <v>1068</v>
      </c>
      <c r="C48" t="s">
        <v>728</v>
      </c>
      <c r="D48" t="s">
        <v>1073</v>
      </c>
      <c r="E48" t="s">
        <v>173</v>
      </c>
      <c r="G48" s="4" t="str">
        <f t="shared" si="0"/>
        <v>CoalBL       &amp;      Fossil_Ely</v>
      </c>
    </row>
    <row r="49" spans="1:7" x14ac:dyDescent="0.25">
      <c r="A49" t="s">
        <v>163</v>
      </c>
      <c r="B49" t="s">
        <v>1068</v>
      </c>
      <c r="C49" t="s">
        <v>729</v>
      </c>
      <c r="D49" t="s">
        <v>1073</v>
      </c>
      <c r="E49" t="s">
        <v>173</v>
      </c>
      <c r="G49" s="4" t="str">
        <f t="shared" si="0"/>
        <v>GasBL       &amp;      Fossil_Ely</v>
      </c>
    </row>
    <row r="50" spans="1:7" x14ac:dyDescent="0.25">
      <c r="A50" t="s">
        <v>164</v>
      </c>
      <c r="B50" t="s">
        <v>1068</v>
      </c>
      <c r="C50" t="s">
        <v>730</v>
      </c>
      <c r="D50" t="s">
        <v>1073</v>
      </c>
      <c r="E50" t="s">
        <v>1070</v>
      </c>
      <c r="G50" s="4" t="str">
        <f t="shared" si="0"/>
        <v>WindBL       &amp;      Clean_Ely</v>
      </c>
    </row>
    <row r="51" spans="1:7" x14ac:dyDescent="0.25">
      <c r="A51" t="s">
        <v>165</v>
      </c>
      <c r="B51" t="s">
        <v>1068</v>
      </c>
      <c r="C51" t="s">
        <v>731</v>
      </c>
      <c r="D51" t="s">
        <v>1073</v>
      </c>
      <c r="E51" t="s">
        <v>1070</v>
      </c>
      <c r="G51" s="4" t="str">
        <f t="shared" si="0"/>
        <v>HydroBL       &amp;      Clean_Ely</v>
      </c>
    </row>
    <row r="52" spans="1:7" x14ac:dyDescent="0.25">
      <c r="A52" t="s">
        <v>166</v>
      </c>
      <c r="B52" t="s">
        <v>1068</v>
      </c>
      <c r="C52" t="s">
        <v>732</v>
      </c>
      <c r="D52" t="s">
        <v>1073</v>
      </c>
      <c r="E52" t="s">
        <v>173</v>
      </c>
      <c r="G52" s="4" t="str">
        <f t="shared" si="0"/>
        <v>OilBL       &amp;      Fossil_Ely</v>
      </c>
    </row>
    <row r="53" spans="1:7" x14ac:dyDescent="0.25">
      <c r="A53" t="s">
        <v>167</v>
      </c>
      <c r="B53" t="s">
        <v>1068</v>
      </c>
      <c r="C53" t="s">
        <v>733</v>
      </c>
      <c r="D53" t="s">
        <v>1073</v>
      </c>
      <c r="E53" t="s">
        <v>1070</v>
      </c>
      <c r="G53" s="4" t="str">
        <f t="shared" si="0"/>
        <v>OtherBL       &amp;      Clean_Ely</v>
      </c>
    </row>
    <row r="54" spans="1:7" x14ac:dyDescent="0.25">
      <c r="A54" t="s">
        <v>168</v>
      </c>
      <c r="B54" t="s">
        <v>1068</v>
      </c>
      <c r="C54" t="s">
        <v>734</v>
      </c>
      <c r="D54" t="s">
        <v>1073</v>
      </c>
      <c r="E54" t="s">
        <v>173</v>
      </c>
      <c r="G54" s="4" t="str">
        <f t="shared" si="0"/>
        <v>GasP       &amp;      Fossil_Ely</v>
      </c>
    </row>
    <row r="55" spans="1:7" x14ac:dyDescent="0.25">
      <c r="A55" t="s">
        <v>169</v>
      </c>
      <c r="B55" t="s">
        <v>1068</v>
      </c>
      <c r="C55" t="s">
        <v>735</v>
      </c>
      <c r="D55" t="s">
        <v>1073</v>
      </c>
      <c r="E55" t="s">
        <v>1070</v>
      </c>
      <c r="G55" s="4" t="str">
        <f t="shared" si="0"/>
        <v>HydroP       &amp;      Clean_Ely</v>
      </c>
    </row>
    <row r="56" spans="1:7" x14ac:dyDescent="0.25">
      <c r="A56" t="s">
        <v>170</v>
      </c>
      <c r="B56" t="s">
        <v>1068</v>
      </c>
      <c r="C56" t="s">
        <v>736</v>
      </c>
      <c r="D56" t="s">
        <v>1073</v>
      </c>
      <c r="E56" t="s">
        <v>173</v>
      </c>
      <c r="G56" s="4" t="str">
        <f t="shared" si="0"/>
        <v>OilP       &amp;      Fossil_Ely</v>
      </c>
    </row>
    <row r="57" spans="1:7" x14ac:dyDescent="0.25">
      <c r="A57" t="s">
        <v>171</v>
      </c>
      <c r="B57" t="s">
        <v>1068</v>
      </c>
      <c r="C57" t="s">
        <v>737</v>
      </c>
      <c r="D57" t="s">
        <v>1073</v>
      </c>
      <c r="E57" t="s">
        <v>1070</v>
      </c>
      <c r="G57" s="4" t="str">
        <f t="shared" si="0"/>
        <v>SolarP       &amp;      Clean_Ely</v>
      </c>
    </row>
    <row r="58" spans="1:7" x14ac:dyDescent="0.25">
      <c r="A58" t="s">
        <v>58</v>
      </c>
      <c r="B58" t="s">
        <v>1068</v>
      </c>
      <c r="C58" t="s">
        <v>132</v>
      </c>
      <c r="D58" t="s">
        <v>1073</v>
      </c>
      <c r="E58" t="s">
        <v>98</v>
      </c>
      <c r="G58" s="4" t="str">
        <f t="shared" si="0"/>
        <v>gdt       &amp;      Gas</v>
      </c>
    </row>
    <row r="59" spans="1:7" x14ac:dyDescent="0.25">
      <c r="A59" t="s">
        <v>59</v>
      </c>
      <c r="B59" t="s">
        <v>1068</v>
      </c>
      <c r="C59" t="s">
        <v>133</v>
      </c>
      <c r="D59" t="s">
        <v>1073</v>
      </c>
      <c r="E59" t="s">
        <v>160</v>
      </c>
      <c r="G59" s="4" t="str">
        <f t="shared" si="0"/>
        <v>wtr       &amp;      Mkt_Serv</v>
      </c>
    </row>
    <row r="60" spans="1:7" x14ac:dyDescent="0.25">
      <c r="A60" t="s">
        <v>60</v>
      </c>
      <c r="B60" t="s">
        <v>1068</v>
      </c>
      <c r="C60" t="s">
        <v>79</v>
      </c>
      <c r="D60" t="s">
        <v>1073</v>
      </c>
      <c r="E60" t="s">
        <v>79</v>
      </c>
      <c r="G60" s="4" t="str">
        <f t="shared" si="0"/>
        <v>cns       &amp;      Construction</v>
      </c>
    </row>
    <row r="61" spans="1:7" x14ac:dyDescent="0.25">
      <c r="A61" t="s">
        <v>61</v>
      </c>
      <c r="B61" t="s">
        <v>1068</v>
      </c>
      <c r="C61" t="s">
        <v>134</v>
      </c>
      <c r="D61" t="s">
        <v>1073</v>
      </c>
      <c r="E61" t="s">
        <v>160</v>
      </c>
      <c r="G61" s="4" t="str">
        <f t="shared" si="0"/>
        <v>trd       &amp;      Mkt_Serv</v>
      </c>
    </row>
    <row r="62" spans="1:7" x14ac:dyDescent="0.25">
      <c r="A62" t="s">
        <v>135</v>
      </c>
      <c r="B62" t="s">
        <v>1068</v>
      </c>
      <c r="C62" t="s">
        <v>738</v>
      </c>
      <c r="D62" t="s">
        <v>1073</v>
      </c>
      <c r="E62" t="s">
        <v>160</v>
      </c>
      <c r="G62" s="4" t="str">
        <f t="shared" si="0"/>
        <v>afs       &amp;      Mkt_Serv</v>
      </c>
    </row>
    <row r="63" spans="1:7" x14ac:dyDescent="0.25">
      <c r="A63" t="s">
        <v>62</v>
      </c>
      <c r="B63" t="s">
        <v>1068</v>
      </c>
      <c r="C63" t="s">
        <v>137</v>
      </c>
      <c r="D63" t="s">
        <v>1073</v>
      </c>
      <c r="E63" t="s">
        <v>208</v>
      </c>
      <c r="G63" s="4" t="str">
        <f t="shared" si="0"/>
        <v>otp       &amp;      Trn</v>
      </c>
    </row>
    <row r="64" spans="1:7" x14ac:dyDescent="0.25">
      <c r="A64" t="s">
        <v>63</v>
      </c>
      <c r="B64" t="s">
        <v>1068</v>
      </c>
      <c r="C64" t="s">
        <v>138</v>
      </c>
      <c r="D64" t="s">
        <v>1073</v>
      </c>
      <c r="E64" t="s">
        <v>208</v>
      </c>
      <c r="G64" s="4" t="str">
        <f t="shared" si="0"/>
        <v>wtp       &amp;      Trn</v>
      </c>
    </row>
    <row r="65" spans="1:7" x14ac:dyDescent="0.25">
      <c r="A65" t="s">
        <v>64</v>
      </c>
      <c r="B65" t="s">
        <v>1068</v>
      </c>
      <c r="C65" t="s">
        <v>139</v>
      </c>
      <c r="D65" t="s">
        <v>1073</v>
      </c>
      <c r="E65" t="s">
        <v>208</v>
      </c>
      <c r="G65" s="4" t="str">
        <f t="shared" si="0"/>
        <v>atp       &amp;      Trn</v>
      </c>
    </row>
    <row r="66" spans="1:7" x14ac:dyDescent="0.25">
      <c r="A66" t="s">
        <v>140</v>
      </c>
      <c r="B66" t="s">
        <v>1068</v>
      </c>
      <c r="C66" t="s">
        <v>739</v>
      </c>
      <c r="D66" t="s">
        <v>1073</v>
      </c>
      <c r="E66" t="s">
        <v>160</v>
      </c>
      <c r="G66" s="4" t="str">
        <f t="shared" ref="G66:G76" si="1">A66&amp;D66&amp;E66</f>
        <v>whs       &amp;      Mkt_Serv</v>
      </c>
    </row>
    <row r="67" spans="1:7" x14ac:dyDescent="0.25">
      <c r="A67" t="s">
        <v>65</v>
      </c>
      <c r="B67" t="s">
        <v>1068</v>
      </c>
      <c r="C67" t="s">
        <v>142</v>
      </c>
      <c r="D67" t="s">
        <v>1073</v>
      </c>
      <c r="E67" t="s">
        <v>160</v>
      </c>
      <c r="G67" s="4" t="str">
        <f t="shared" si="1"/>
        <v>cmn       &amp;      Mkt_Serv</v>
      </c>
    </row>
    <row r="68" spans="1:7" x14ac:dyDescent="0.25">
      <c r="A68" t="s">
        <v>66</v>
      </c>
      <c r="B68" t="s">
        <v>1068</v>
      </c>
      <c r="C68" t="s">
        <v>143</v>
      </c>
      <c r="D68" t="s">
        <v>1073</v>
      </c>
      <c r="E68" t="s">
        <v>160</v>
      </c>
      <c r="G68" s="4" t="str">
        <f t="shared" si="1"/>
        <v>ofi       &amp;      Mkt_Serv</v>
      </c>
    </row>
    <row r="69" spans="1:7" x14ac:dyDescent="0.25">
      <c r="A69" t="s">
        <v>144</v>
      </c>
      <c r="B69" t="s">
        <v>1068</v>
      </c>
      <c r="C69" t="s">
        <v>198</v>
      </c>
      <c r="D69" t="s">
        <v>1073</v>
      </c>
      <c r="E69" t="s">
        <v>198</v>
      </c>
      <c r="G69" s="4" t="str">
        <f t="shared" si="1"/>
        <v>ins       &amp;      Insurance</v>
      </c>
    </row>
    <row r="70" spans="1:7" x14ac:dyDescent="0.25">
      <c r="A70" t="s">
        <v>146</v>
      </c>
      <c r="B70" t="s">
        <v>1068</v>
      </c>
      <c r="C70" t="s">
        <v>147</v>
      </c>
      <c r="D70" t="s">
        <v>1073</v>
      </c>
      <c r="E70" t="s">
        <v>160</v>
      </c>
      <c r="G70" s="4" t="str">
        <f t="shared" si="1"/>
        <v>rsa       &amp;      Mkt_Serv</v>
      </c>
    </row>
    <row r="71" spans="1:7" x14ac:dyDescent="0.25">
      <c r="A71" t="s">
        <v>67</v>
      </c>
      <c r="B71" t="s">
        <v>1068</v>
      </c>
      <c r="C71" t="s">
        <v>148</v>
      </c>
      <c r="D71" t="s">
        <v>1073</v>
      </c>
      <c r="E71" t="s">
        <v>160</v>
      </c>
      <c r="G71" s="4" t="str">
        <f t="shared" si="1"/>
        <v>obs       &amp;      Mkt_Serv</v>
      </c>
    </row>
    <row r="72" spans="1:7" x14ac:dyDescent="0.25">
      <c r="A72" t="s">
        <v>68</v>
      </c>
      <c r="B72" t="s">
        <v>1068</v>
      </c>
      <c r="C72" t="s">
        <v>740</v>
      </c>
      <c r="D72" t="s">
        <v>1073</v>
      </c>
      <c r="E72" t="s">
        <v>160</v>
      </c>
      <c r="G72" s="4" t="str">
        <f t="shared" si="1"/>
        <v>ros       &amp;      Mkt_Serv</v>
      </c>
    </row>
    <row r="73" spans="1:7" x14ac:dyDescent="0.25">
      <c r="A73" t="s">
        <v>69</v>
      </c>
      <c r="B73" t="s">
        <v>1068</v>
      </c>
      <c r="C73" t="s">
        <v>741</v>
      </c>
      <c r="D73" t="s">
        <v>1073</v>
      </c>
      <c r="E73" t="s">
        <v>159</v>
      </c>
      <c r="G73" s="4" t="str">
        <f t="shared" si="1"/>
        <v>osg       &amp;      Pub_Serv</v>
      </c>
    </row>
    <row r="74" spans="1:7" x14ac:dyDescent="0.25">
      <c r="A74" t="s">
        <v>151</v>
      </c>
      <c r="B74" t="s">
        <v>1068</v>
      </c>
      <c r="C74" t="s">
        <v>152</v>
      </c>
      <c r="D74" t="s">
        <v>1073</v>
      </c>
      <c r="E74" t="s">
        <v>159</v>
      </c>
      <c r="G74" s="4" t="str">
        <f t="shared" si="1"/>
        <v>edu       &amp;      Pub_Serv</v>
      </c>
    </row>
    <row r="75" spans="1:7" x14ac:dyDescent="0.25">
      <c r="A75" t="s">
        <v>153</v>
      </c>
      <c r="B75" t="s">
        <v>1068</v>
      </c>
      <c r="C75" t="s">
        <v>742</v>
      </c>
      <c r="D75" t="s">
        <v>1073</v>
      </c>
      <c r="E75" t="s">
        <v>158</v>
      </c>
      <c r="G75" s="4" t="str">
        <f t="shared" si="1"/>
        <v>hht       &amp;      Health</v>
      </c>
    </row>
    <row r="76" spans="1:7" x14ac:dyDescent="0.25">
      <c r="A76" t="s">
        <v>70</v>
      </c>
      <c r="B76" t="s">
        <v>1068</v>
      </c>
      <c r="C76" t="s">
        <v>155</v>
      </c>
      <c r="D76" t="s">
        <v>1073</v>
      </c>
      <c r="E76" t="s">
        <v>155</v>
      </c>
      <c r="G76" s="4" t="str">
        <f t="shared" si="1"/>
        <v>dwe       &amp;      Dwellings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BC62-5DC3-44E5-82DB-6637B1C35481}">
  <dimension ref="A1:C160"/>
  <sheetViews>
    <sheetView topLeftCell="A56" workbookViewId="0">
      <selection activeCell="A56" sqref="A56:A83"/>
    </sheetView>
  </sheetViews>
  <sheetFormatPr defaultRowHeight="15" x14ac:dyDescent="0.25"/>
  <sheetData>
    <row r="1" spans="1:3" x14ac:dyDescent="0.25">
      <c r="A1" t="s">
        <v>745</v>
      </c>
      <c r="B1" t="s">
        <v>722</v>
      </c>
      <c r="C1" t="s">
        <v>219</v>
      </c>
    </row>
    <row r="2" spans="1:3" x14ac:dyDescent="0.25">
      <c r="A2" t="s">
        <v>746</v>
      </c>
      <c r="B2" t="s">
        <v>722</v>
      </c>
      <c r="C2" t="s">
        <v>230</v>
      </c>
    </row>
    <row r="3" spans="1:3" x14ac:dyDescent="0.25">
      <c r="A3" t="s">
        <v>747</v>
      </c>
      <c r="B3" t="s">
        <v>722</v>
      </c>
      <c r="C3" t="s">
        <v>233</v>
      </c>
    </row>
    <row r="4" spans="1:3" x14ac:dyDescent="0.25">
      <c r="A4" t="s">
        <v>748</v>
      </c>
      <c r="B4" t="s">
        <v>722</v>
      </c>
      <c r="C4" t="s">
        <v>204</v>
      </c>
    </row>
    <row r="5" spans="1:3" x14ac:dyDescent="0.25">
      <c r="A5" t="s">
        <v>749</v>
      </c>
      <c r="B5" t="s">
        <v>722</v>
      </c>
      <c r="C5" t="s">
        <v>750</v>
      </c>
    </row>
    <row r="6" spans="1:3" x14ac:dyDescent="0.25">
      <c r="A6" t="s">
        <v>751</v>
      </c>
      <c r="B6" t="s">
        <v>722</v>
      </c>
      <c r="C6" t="s">
        <v>192</v>
      </c>
    </row>
    <row r="7" spans="1:3" x14ac:dyDescent="0.25">
      <c r="A7" t="s">
        <v>752</v>
      </c>
      <c r="B7" t="s">
        <v>722</v>
      </c>
      <c r="C7" t="s">
        <v>753</v>
      </c>
    </row>
    <row r="8" spans="1:3" x14ac:dyDescent="0.25">
      <c r="A8" t="s">
        <v>754</v>
      </c>
      <c r="B8" t="s">
        <v>722</v>
      </c>
      <c r="C8" t="s">
        <v>288</v>
      </c>
    </row>
    <row r="9" spans="1:3" x14ac:dyDescent="0.25">
      <c r="A9" t="s">
        <v>755</v>
      </c>
      <c r="B9" t="s">
        <v>722</v>
      </c>
      <c r="C9" t="s">
        <v>756</v>
      </c>
    </row>
    <row r="10" spans="1:3" x14ac:dyDescent="0.25">
      <c r="A10" t="s">
        <v>757</v>
      </c>
      <c r="B10" t="s">
        <v>722</v>
      </c>
      <c r="C10" t="s">
        <v>290</v>
      </c>
    </row>
    <row r="11" spans="1:3" x14ac:dyDescent="0.25">
      <c r="A11" t="s">
        <v>758</v>
      </c>
      <c r="B11" t="s">
        <v>722</v>
      </c>
      <c r="C11" t="s">
        <v>299</v>
      </c>
    </row>
    <row r="12" spans="1:3" x14ac:dyDescent="0.25">
      <c r="A12" t="s">
        <v>759</v>
      </c>
      <c r="B12" t="s">
        <v>722</v>
      </c>
      <c r="C12" t="s">
        <v>301</v>
      </c>
    </row>
    <row r="13" spans="1:3" x14ac:dyDescent="0.25">
      <c r="A13" t="s">
        <v>760</v>
      </c>
      <c r="B13" t="s">
        <v>722</v>
      </c>
      <c r="C13" t="s">
        <v>200</v>
      </c>
    </row>
    <row r="14" spans="1:3" x14ac:dyDescent="0.25">
      <c r="A14" t="s">
        <v>761</v>
      </c>
      <c r="B14" t="s">
        <v>722</v>
      </c>
      <c r="C14" t="s">
        <v>762</v>
      </c>
    </row>
    <row r="15" spans="1:3" x14ac:dyDescent="0.25">
      <c r="A15" t="s">
        <v>763</v>
      </c>
      <c r="B15" t="s">
        <v>722</v>
      </c>
      <c r="C15" t="s">
        <v>306</v>
      </c>
    </row>
    <row r="16" spans="1:3" x14ac:dyDescent="0.25">
      <c r="A16" t="s">
        <v>764</v>
      </c>
      <c r="B16" t="s">
        <v>722</v>
      </c>
      <c r="C16" t="s">
        <v>308</v>
      </c>
    </row>
    <row r="17" spans="1:3" x14ac:dyDescent="0.25">
      <c r="A17" t="s">
        <v>765</v>
      </c>
      <c r="B17" t="s">
        <v>722</v>
      </c>
      <c r="C17" t="s">
        <v>310</v>
      </c>
    </row>
    <row r="18" spans="1:3" x14ac:dyDescent="0.25">
      <c r="A18" t="s">
        <v>766</v>
      </c>
      <c r="B18" t="s">
        <v>722</v>
      </c>
      <c r="C18" t="s">
        <v>312</v>
      </c>
    </row>
    <row r="19" spans="1:3" x14ac:dyDescent="0.25">
      <c r="A19" t="s">
        <v>767</v>
      </c>
      <c r="B19" t="s">
        <v>722</v>
      </c>
      <c r="C19" t="s">
        <v>314</v>
      </c>
    </row>
    <row r="20" spans="1:3" x14ac:dyDescent="0.25">
      <c r="A20" t="s">
        <v>768</v>
      </c>
      <c r="B20" t="s">
        <v>722</v>
      </c>
      <c r="C20" t="s">
        <v>317</v>
      </c>
    </row>
    <row r="21" spans="1:3" x14ac:dyDescent="0.25">
      <c r="A21" t="s">
        <v>769</v>
      </c>
      <c r="B21" t="s">
        <v>722</v>
      </c>
      <c r="C21" t="s">
        <v>322</v>
      </c>
    </row>
    <row r="22" spans="1:3" x14ac:dyDescent="0.25">
      <c r="A22" t="s">
        <v>770</v>
      </c>
      <c r="B22" t="s">
        <v>722</v>
      </c>
      <c r="C22" t="s">
        <v>326</v>
      </c>
    </row>
    <row r="23" spans="1:3" x14ac:dyDescent="0.25">
      <c r="A23" t="s">
        <v>771</v>
      </c>
      <c r="B23" t="s">
        <v>722</v>
      </c>
      <c r="C23" t="s">
        <v>193</v>
      </c>
    </row>
    <row r="24" spans="1:3" x14ac:dyDescent="0.25">
      <c r="A24" t="s">
        <v>772</v>
      </c>
      <c r="B24" t="s">
        <v>722</v>
      </c>
      <c r="C24" t="s">
        <v>329</v>
      </c>
    </row>
    <row r="25" spans="1:3" x14ac:dyDescent="0.25">
      <c r="A25" t="s">
        <v>773</v>
      </c>
      <c r="B25" t="s">
        <v>722</v>
      </c>
      <c r="C25" t="s">
        <v>331</v>
      </c>
    </row>
    <row r="26" spans="1:3" x14ac:dyDescent="0.25">
      <c r="A26" t="s">
        <v>774</v>
      </c>
      <c r="B26" t="s">
        <v>722</v>
      </c>
      <c r="C26" t="s">
        <v>333</v>
      </c>
    </row>
    <row r="27" spans="1:3" x14ac:dyDescent="0.25">
      <c r="A27" t="s">
        <v>775</v>
      </c>
      <c r="B27" t="s">
        <v>722</v>
      </c>
      <c r="C27" t="s">
        <v>324</v>
      </c>
    </row>
    <row r="28" spans="1:3" x14ac:dyDescent="0.25">
      <c r="A28" t="s">
        <v>776</v>
      </c>
      <c r="B28" t="s">
        <v>722</v>
      </c>
      <c r="C28" t="s">
        <v>205</v>
      </c>
    </row>
    <row r="29" spans="1:3" x14ac:dyDescent="0.25">
      <c r="A29" t="s">
        <v>777</v>
      </c>
      <c r="B29" t="s">
        <v>722</v>
      </c>
      <c r="C29" t="s">
        <v>194</v>
      </c>
    </row>
    <row r="30" spans="1:3" x14ac:dyDescent="0.25">
      <c r="A30" t="s">
        <v>778</v>
      </c>
      <c r="B30" t="s">
        <v>722</v>
      </c>
      <c r="C30" t="s">
        <v>202</v>
      </c>
    </row>
    <row r="31" spans="1:3" x14ac:dyDescent="0.25">
      <c r="A31" t="s">
        <v>779</v>
      </c>
      <c r="B31" t="s">
        <v>722</v>
      </c>
      <c r="C31" t="s">
        <v>346</v>
      </c>
    </row>
    <row r="32" spans="1:3" x14ac:dyDescent="0.25">
      <c r="A32" t="s">
        <v>780</v>
      </c>
      <c r="B32" t="s">
        <v>722</v>
      </c>
      <c r="C32" t="s">
        <v>353</v>
      </c>
    </row>
    <row r="33" spans="1:3" x14ac:dyDescent="0.25">
      <c r="A33" t="s">
        <v>781</v>
      </c>
      <c r="B33" t="s">
        <v>722</v>
      </c>
      <c r="C33" t="s">
        <v>782</v>
      </c>
    </row>
    <row r="34" spans="1:3" x14ac:dyDescent="0.25">
      <c r="A34" t="s">
        <v>783</v>
      </c>
      <c r="B34" t="s">
        <v>722</v>
      </c>
      <c r="C34" t="s">
        <v>203</v>
      </c>
    </row>
    <row r="35" spans="1:3" x14ac:dyDescent="0.25">
      <c r="A35" t="s">
        <v>784</v>
      </c>
      <c r="B35" t="s">
        <v>722</v>
      </c>
      <c r="C35" t="s">
        <v>358</v>
      </c>
    </row>
    <row r="36" spans="1:3" x14ac:dyDescent="0.25">
      <c r="A36" t="s">
        <v>785</v>
      </c>
      <c r="B36" t="s">
        <v>722</v>
      </c>
      <c r="C36" t="s">
        <v>360</v>
      </c>
    </row>
    <row r="37" spans="1:3" x14ac:dyDescent="0.25">
      <c r="A37" t="s">
        <v>786</v>
      </c>
      <c r="B37" t="s">
        <v>722</v>
      </c>
      <c r="C37" t="s">
        <v>362</v>
      </c>
    </row>
    <row r="38" spans="1:3" x14ac:dyDescent="0.25">
      <c r="A38" t="s">
        <v>787</v>
      </c>
      <c r="B38" t="s">
        <v>722</v>
      </c>
      <c r="C38" t="s">
        <v>364</v>
      </c>
    </row>
    <row r="39" spans="1:3" x14ac:dyDescent="0.25">
      <c r="A39" t="s">
        <v>788</v>
      </c>
      <c r="B39" t="s">
        <v>722</v>
      </c>
      <c r="C39" t="s">
        <v>366</v>
      </c>
    </row>
    <row r="40" spans="1:3" x14ac:dyDescent="0.25">
      <c r="A40" t="s">
        <v>789</v>
      </c>
      <c r="B40" t="s">
        <v>722</v>
      </c>
      <c r="C40" t="s">
        <v>368</v>
      </c>
    </row>
    <row r="41" spans="1:3" x14ac:dyDescent="0.25">
      <c r="A41" t="s">
        <v>790</v>
      </c>
      <c r="B41" t="s">
        <v>722</v>
      </c>
      <c r="C41" t="s">
        <v>791</v>
      </c>
    </row>
    <row r="42" spans="1:3" x14ac:dyDescent="0.25">
      <c r="A42" t="s">
        <v>792</v>
      </c>
      <c r="B42" t="s">
        <v>722</v>
      </c>
      <c r="C42" t="s">
        <v>373</v>
      </c>
    </row>
    <row r="43" spans="1:3" x14ac:dyDescent="0.25">
      <c r="A43" t="s">
        <v>793</v>
      </c>
      <c r="B43" t="s">
        <v>722</v>
      </c>
      <c r="C43" t="s">
        <v>384</v>
      </c>
    </row>
    <row r="44" spans="1:3" x14ac:dyDescent="0.25">
      <c r="A44" t="s">
        <v>794</v>
      </c>
      <c r="B44" t="s">
        <v>722</v>
      </c>
      <c r="C44" t="s">
        <v>386</v>
      </c>
    </row>
    <row r="45" spans="1:3" x14ac:dyDescent="0.25">
      <c r="A45" t="s">
        <v>795</v>
      </c>
      <c r="B45" t="s">
        <v>722</v>
      </c>
      <c r="C45" t="s">
        <v>388</v>
      </c>
    </row>
    <row r="46" spans="1:3" x14ac:dyDescent="0.25">
      <c r="A46" t="s">
        <v>796</v>
      </c>
      <c r="B46" t="s">
        <v>722</v>
      </c>
      <c r="C46" t="s">
        <v>390</v>
      </c>
    </row>
    <row r="47" spans="1:3" x14ac:dyDescent="0.25">
      <c r="A47" t="s">
        <v>797</v>
      </c>
      <c r="B47" t="s">
        <v>722</v>
      </c>
      <c r="C47" t="s">
        <v>392</v>
      </c>
    </row>
    <row r="48" spans="1:3" x14ac:dyDescent="0.25">
      <c r="A48" t="s">
        <v>798</v>
      </c>
      <c r="B48" t="s">
        <v>722</v>
      </c>
      <c r="C48" t="s">
        <v>394</v>
      </c>
    </row>
    <row r="49" spans="1:3" x14ac:dyDescent="0.25">
      <c r="A49" t="s">
        <v>799</v>
      </c>
      <c r="B49" t="s">
        <v>722</v>
      </c>
      <c r="C49" t="s">
        <v>397</v>
      </c>
    </row>
    <row r="50" spans="1:3" x14ac:dyDescent="0.25">
      <c r="A50" t="s">
        <v>800</v>
      </c>
      <c r="B50" t="s">
        <v>722</v>
      </c>
      <c r="C50" t="s">
        <v>400</v>
      </c>
    </row>
    <row r="51" spans="1:3" x14ac:dyDescent="0.25">
      <c r="A51" t="s">
        <v>801</v>
      </c>
      <c r="B51" t="s">
        <v>722</v>
      </c>
      <c r="C51" t="s">
        <v>402</v>
      </c>
    </row>
    <row r="52" spans="1:3" x14ac:dyDescent="0.25">
      <c r="A52" t="s">
        <v>802</v>
      </c>
      <c r="B52" t="s">
        <v>722</v>
      </c>
      <c r="C52" t="s">
        <v>404</v>
      </c>
    </row>
    <row r="53" spans="1:3" x14ac:dyDescent="0.25">
      <c r="A53" t="s">
        <v>803</v>
      </c>
      <c r="B53" t="s">
        <v>722</v>
      </c>
      <c r="C53" t="s">
        <v>406</v>
      </c>
    </row>
    <row r="54" spans="1:3" x14ac:dyDescent="0.25">
      <c r="A54" t="s">
        <v>804</v>
      </c>
      <c r="B54" t="s">
        <v>722</v>
      </c>
      <c r="C54" t="s">
        <v>408</v>
      </c>
    </row>
    <row r="55" spans="1:3" x14ac:dyDescent="0.25">
      <c r="A55" t="s">
        <v>805</v>
      </c>
      <c r="B55" t="s">
        <v>722</v>
      </c>
      <c r="C55" t="s">
        <v>806</v>
      </c>
    </row>
    <row r="56" spans="1:3" x14ac:dyDescent="0.25">
      <c r="A56" t="s">
        <v>175</v>
      </c>
      <c r="B56" t="s">
        <v>722</v>
      </c>
      <c r="C56" t="s">
        <v>807</v>
      </c>
    </row>
    <row r="57" spans="1:3" x14ac:dyDescent="0.25">
      <c r="A57" t="s">
        <v>176</v>
      </c>
      <c r="B57" t="s">
        <v>722</v>
      </c>
      <c r="C57" t="s">
        <v>808</v>
      </c>
    </row>
    <row r="58" spans="1:3" x14ac:dyDescent="0.25">
      <c r="A58" t="s">
        <v>12</v>
      </c>
      <c r="B58" t="s">
        <v>722</v>
      </c>
      <c r="C58" t="s">
        <v>809</v>
      </c>
    </row>
    <row r="59" spans="1:3" x14ac:dyDescent="0.25">
      <c r="A59" t="s">
        <v>13</v>
      </c>
      <c r="B59" t="s">
        <v>722</v>
      </c>
      <c r="C59" t="s">
        <v>810</v>
      </c>
    </row>
    <row r="60" spans="1:3" x14ac:dyDescent="0.25">
      <c r="A60" t="s">
        <v>0</v>
      </c>
      <c r="B60" t="s">
        <v>722</v>
      </c>
      <c r="C60" t="s">
        <v>811</v>
      </c>
    </row>
    <row r="61" spans="1:3" x14ac:dyDescent="0.25">
      <c r="A61" t="s">
        <v>177</v>
      </c>
      <c r="B61" t="s">
        <v>722</v>
      </c>
      <c r="C61" t="s">
        <v>812</v>
      </c>
    </row>
    <row r="62" spans="1:3" x14ac:dyDescent="0.25">
      <c r="A62" t="s">
        <v>1</v>
      </c>
      <c r="B62" t="s">
        <v>722</v>
      </c>
      <c r="C62" t="s">
        <v>813</v>
      </c>
    </row>
    <row r="63" spans="1:3" x14ac:dyDescent="0.25">
      <c r="A63" t="s">
        <v>2</v>
      </c>
      <c r="B63" t="s">
        <v>722</v>
      </c>
      <c r="C63" t="s">
        <v>814</v>
      </c>
    </row>
    <row r="64" spans="1:3" x14ac:dyDescent="0.25">
      <c r="A64" t="s">
        <v>3</v>
      </c>
      <c r="B64" t="s">
        <v>722</v>
      </c>
      <c r="C64" t="s">
        <v>815</v>
      </c>
    </row>
    <row r="65" spans="1:3" x14ac:dyDescent="0.25">
      <c r="A65" t="s">
        <v>178</v>
      </c>
      <c r="B65" t="s">
        <v>722</v>
      </c>
      <c r="C65" t="s">
        <v>816</v>
      </c>
    </row>
    <row r="66" spans="1:3" x14ac:dyDescent="0.25">
      <c r="A66" t="s">
        <v>179</v>
      </c>
      <c r="B66" t="s">
        <v>722</v>
      </c>
      <c r="C66" t="s">
        <v>817</v>
      </c>
    </row>
    <row r="67" spans="1:3" x14ac:dyDescent="0.25">
      <c r="A67" t="s">
        <v>180</v>
      </c>
      <c r="B67" t="s">
        <v>722</v>
      </c>
      <c r="C67" t="s">
        <v>818</v>
      </c>
    </row>
    <row r="68" spans="1:3" x14ac:dyDescent="0.25">
      <c r="A68" t="s">
        <v>4</v>
      </c>
      <c r="B68" t="s">
        <v>722</v>
      </c>
      <c r="C68" t="s">
        <v>819</v>
      </c>
    </row>
    <row r="69" spans="1:3" x14ac:dyDescent="0.25">
      <c r="A69" t="s">
        <v>5</v>
      </c>
      <c r="B69" t="s">
        <v>722</v>
      </c>
      <c r="C69" t="s">
        <v>820</v>
      </c>
    </row>
    <row r="70" spans="1:3" x14ac:dyDescent="0.25">
      <c r="A70" t="s">
        <v>181</v>
      </c>
      <c r="B70" t="s">
        <v>722</v>
      </c>
      <c r="C70" t="s">
        <v>821</v>
      </c>
    </row>
    <row r="71" spans="1:3" x14ac:dyDescent="0.25">
      <c r="A71" t="s">
        <v>6</v>
      </c>
      <c r="B71" t="s">
        <v>722</v>
      </c>
      <c r="C71" t="s">
        <v>822</v>
      </c>
    </row>
    <row r="72" spans="1:3" x14ac:dyDescent="0.25">
      <c r="A72" t="s">
        <v>7</v>
      </c>
      <c r="B72" t="s">
        <v>722</v>
      </c>
      <c r="C72" t="s">
        <v>823</v>
      </c>
    </row>
    <row r="73" spans="1:3" x14ac:dyDescent="0.25">
      <c r="A73" t="s">
        <v>8</v>
      </c>
      <c r="B73" t="s">
        <v>722</v>
      </c>
      <c r="C73" t="s">
        <v>824</v>
      </c>
    </row>
    <row r="74" spans="1:3" x14ac:dyDescent="0.25">
      <c r="A74" t="s">
        <v>9</v>
      </c>
      <c r="B74" t="s">
        <v>722</v>
      </c>
      <c r="C74" t="s">
        <v>825</v>
      </c>
    </row>
    <row r="75" spans="1:3" x14ac:dyDescent="0.25">
      <c r="A75" t="s">
        <v>182</v>
      </c>
      <c r="B75" t="s">
        <v>722</v>
      </c>
      <c r="C75" t="s">
        <v>826</v>
      </c>
    </row>
    <row r="76" spans="1:3" x14ac:dyDescent="0.25">
      <c r="A76" t="s">
        <v>183</v>
      </c>
      <c r="B76" t="s">
        <v>722</v>
      </c>
      <c r="C76" t="s">
        <v>827</v>
      </c>
    </row>
    <row r="77" spans="1:3" x14ac:dyDescent="0.25">
      <c r="A77" t="s">
        <v>184</v>
      </c>
      <c r="B77" t="s">
        <v>722</v>
      </c>
      <c r="C77" t="s">
        <v>828</v>
      </c>
    </row>
    <row r="78" spans="1:3" x14ac:dyDescent="0.25">
      <c r="A78" t="s">
        <v>14</v>
      </c>
      <c r="B78" t="s">
        <v>722</v>
      </c>
      <c r="C78" t="s">
        <v>829</v>
      </c>
    </row>
    <row r="79" spans="1:3" x14ac:dyDescent="0.25">
      <c r="A79" t="s">
        <v>10</v>
      </c>
      <c r="B79" t="s">
        <v>722</v>
      </c>
      <c r="C79" t="s">
        <v>830</v>
      </c>
    </row>
    <row r="80" spans="1:3" x14ac:dyDescent="0.25">
      <c r="A80" t="s">
        <v>11</v>
      </c>
      <c r="B80" t="s">
        <v>722</v>
      </c>
      <c r="C80" t="s">
        <v>831</v>
      </c>
    </row>
    <row r="81" spans="1:3" x14ac:dyDescent="0.25">
      <c r="A81" t="s">
        <v>185</v>
      </c>
      <c r="B81" t="s">
        <v>722</v>
      </c>
      <c r="C81" t="s">
        <v>832</v>
      </c>
    </row>
    <row r="82" spans="1:3" x14ac:dyDescent="0.25">
      <c r="A82" t="s">
        <v>186</v>
      </c>
      <c r="B82" t="s">
        <v>722</v>
      </c>
      <c r="C82" t="s">
        <v>833</v>
      </c>
    </row>
    <row r="83" spans="1:3" x14ac:dyDescent="0.25">
      <c r="A83" t="s">
        <v>187</v>
      </c>
      <c r="B83" t="s">
        <v>722</v>
      </c>
      <c r="C83" t="s">
        <v>834</v>
      </c>
    </row>
    <row r="84" spans="1:3" x14ac:dyDescent="0.25">
      <c r="A84" t="s">
        <v>835</v>
      </c>
      <c r="B84" t="s">
        <v>722</v>
      </c>
      <c r="C84" t="s">
        <v>454</v>
      </c>
    </row>
    <row r="85" spans="1:3" x14ac:dyDescent="0.25">
      <c r="A85" t="s">
        <v>836</v>
      </c>
      <c r="B85" t="s">
        <v>722</v>
      </c>
      <c r="C85" t="s">
        <v>456</v>
      </c>
    </row>
    <row r="86" spans="1:3" x14ac:dyDescent="0.25">
      <c r="A86" t="s">
        <v>837</v>
      </c>
      <c r="B86" t="s">
        <v>722</v>
      </c>
      <c r="C86" t="s">
        <v>838</v>
      </c>
    </row>
    <row r="87" spans="1:3" x14ac:dyDescent="0.25">
      <c r="A87" t="s">
        <v>839</v>
      </c>
      <c r="B87" t="s">
        <v>722</v>
      </c>
      <c r="C87" t="s">
        <v>466</v>
      </c>
    </row>
    <row r="88" spans="1:3" x14ac:dyDescent="0.25">
      <c r="A88" t="s">
        <v>840</v>
      </c>
      <c r="B88" t="s">
        <v>722</v>
      </c>
      <c r="C88" t="s">
        <v>468</v>
      </c>
    </row>
    <row r="89" spans="1:3" x14ac:dyDescent="0.25">
      <c r="A89" t="s">
        <v>841</v>
      </c>
      <c r="B89" t="s">
        <v>722</v>
      </c>
      <c r="C89" t="s">
        <v>470</v>
      </c>
    </row>
    <row r="90" spans="1:3" x14ac:dyDescent="0.25">
      <c r="A90" t="s">
        <v>842</v>
      </c>
      <c r="B90" t="s">
        <v>722</v>
      </c>
      <c r="C90" t="s">
        <v>473</v>
      </c>
    </row>
    <row r="91" spans="1:3" x14ac:dyDescent="0.25">
      <c r="A91" t="s">
        <v>843</v>
      </c>
      <c r="B91" t="s">
        <v>722</v>
      </c>
      <c r="C91" t="s">
        <v>475</v>
      </c>
    </row>
    <row r="92" spans="1:3" x14ac:dyDescent="0.25">
      <c r="A92" t="s">
        <v>844</v>
      </c>
      <c r="B92" t="s">
        <v>722</v>
      </c>
      <c r="C92" t="s">
        <v>478</v>
      </c>
    </row>
    <row r="93" spans="1:3" x14ac:dyDescent="0.25">
      <c r="A93" t="s">
        <v>845</v>
      </c>
      <c r="B93" t="s">
        <v>722</v>
      </c>
      <c r="C93" t="s">
        <v>482</v>
      </c>
    </row>
    <row r="94" spans="1:3" x14ac:dyDescent="0.25">
      <c r="A94" t="s">
        <v>846</v>
      </c>
      <c r="B94" t="s">
        <v>722</v>
      </c>
      <c r="C94" t="s">
        <v>511</v>
      </c>
    </row>
    <row r="95" spans="1:3" x14ac:dyDescent="0.25">
      <c r="A95" t="s">
        <v>847</v>
      </c>
      <c r="B95" t="s">
        <v>722</v>
      </c>
      <c r="C95" t="s">
        <v>513</v>
      </c>
    </row>
    <row r="96" spans="1:3" x14ac:dyDescent="0.25">
      <c r="A96" t="s">
        <v>848</v>
      </c>
      <c r="B96" t="s">
        <v>722</v>
      </c>
      <c r="C96" t="s">
        <v>515</v>
      </c>
    </row>
    <row r="97" spans="1:3" x14ac:dyDescent="0.25">
      <c r="A97" t="s">
        <v>849</v>
      </c>
      <c r="B97" t="s">
        <v>722</v>
      </c>
      <c r="C97" t="s">
        <v>517</v>
      </c>
    </row>
    <row r="98" spans="1:3" x14ac:dyDescent="0.25">
      <c r="A98" t="s">
        <v>850</v>
      </c>
      <c r="B98" t="s">
        <v>722</v>
      </c>
      <c r="C98" t="s">
        <v>520</v>
      </c>
    </row>
    <row r="99" spans="1:3" x14ac:dyDescent="0.25">
      <c r="A99" t="s">
        <v>851</v>
      </c>
      <c r="B99" t="s">
        <v>722</v>
      </c>
      <c r="C99" t="s">
        <v>523</v>
      </c>
    </row>
    <row r="100" spans="1:3" x14ac:dyDescent="0.25">
      <c r="A100" t="s">
        <v>852</v>
      </c>
      <c r="B100" t="s">
        <v>722</v>
      </c>
      <c r="C100" t="s">
        <v>525</v>
      </c>
    </row>
    <row r="101" spans="1:3" x14ac:dyDescent="0.25">
      <c r="A101" t="s">
        <v>853</v>
      </c>
      <c r="B101" t="s">
        <v>722</v>
      </c>
      <c r="C101" t="s">
        <v>527</v>
      </c>
    </row>
    <row r="102" spans="1:3" x14ac:dyDescent="0.25">
      <c r="A102" t="s">
        <v>854</v>
      </c>
      <c r="B102" t="s">
        <v>722</v>
      </c>
      <c r="C102" t="s">
        <v>529</v>
      </c>
    </row>
    <row r="103" spans="1:3" x14ac:dyDescent="0.25">
      <c r="A103" t="s">
        <v>855</v>
      </c>
      <c r="B103" t="s">
        <v>722</v>
      </c>
      <c r="C103" t="s">
        <v>856</v>
      </c>
    </row>
    <row r="104" spans="1:3" x14ac:dyDescent="0.25">
      <c r="A104" t="s">
        <v>857</v>
      </c>
      <c r="B104" t="s">
        <v>722</v>
      </c>
      <c r="C104" t="s">
        <v>533</v>
      </c>
    </row>
    <row r="105" spans="1:3" x14ac:dyDescent="0.25">
      <c r="A105" t="s">
        <v>858</v>
      </c>
      <c r="B105" t="s">
        <v>722</v>
      </c>
      <c r="C105" t="s">
        <v>535</v>
      </c>
    </row>
    <row r="106" spans="1:3" x14ac:dyDescent="0.25">
      <c r="A106" t="s">
        <v>859</v>
      </c>
      <c r="B106" t="s">
        <v>722</v>
      </c>
      <c r="C106" t="s">
        <v>537</v>
      </c>
    </row>
    <row r="107" spans="1:3" x14ac:dyDescent="0.25">
      <c r="A107" t="s">
        <v>860</v>
      </c>
      <c r="B107" t="s">
        <v>722</v>
      </c>
      <c r="C107" t="s">
        <v>539</v>
      </c>
    </row>
    <row r="108" spans="1:3" x14ac:dyDescent="0.25">
      <c r="A108" t="s">
        <v>861</v>
      </c>
      <c r="B108" t="s">
        <v>722</v>
      </c>
      <c r="C108" t="s">
        <v>541</v>
      </c>
    </row>
    <row r="109" spans="1:3" x14ac:dyDescent="0.25">
      <c r="A109" t="s">
        <v>862</v>
      </c>
      <c r="B109" t="s">
        <v>722</v>
      </c>
      <c r="C109" t="s">
        <v>543</v>
      </c>
    </row>
    <row r="110" spans="1:3" x14ac:dyDescent="0.25">
      <c r="A110" t="s">
        <v>863</v>
      </c>
      <c r="B110" t="s">
        <v>722</v>
      </c>
      <c r="C110" t="s">
        <v>864</v>
      </c>
    </row>
    <row r="111" spans="1:3" x14ac:dyDescent="0.25">
      <c r="A111" t="s">
        <v>865</v>
      </c>
      <c r="B111" t="s">
        <v>722</v>
      </c>
      <c r="C111" t="s">
        <v>547</v>
      </c>
    </row>
    <row r="112" spans="1:3" x14ac:dyDescent="0.25">
      <c r="A112" t="s">
        <v>866</v>
      </c>
      <c r="B112" t="s">
        <v>722</v>
      </c>
      <c r="C112" t="s">
        <v>549</v>
      </c>
    </row>
    <row r="113" spans="1:3" x14ac:dyDescent="0.25">
      <c r="A113" t="s">
        <v>867</v>
      </c>
      <c r="B113" t="s">
        <v>722</v>
      </c>
      <c r="C113" t="s">
        <v>551</v>
      </c>
    </row>
    <row r="114" spans="1:3" x14ac:dyDescent="0.25">
      <c r="A114" t="s">
        <v>868</v>
      </c>
      <c r="B114" t="s">
        <v>722</v>
      </c>
      <c r="C114" t="s">
        <v>869</v>
      </c>
    </row>
    <row r="115" spans="1:3" x14ac:dyDescent="0.25">
      <c r="A115" t="s">
        <v>870</v>
      </c>
      <c r="B115" t="s">
        <v>722</v>
      </c>
      <c r="C115" t="s">
        <v>555</v>
      </c>
    </row>
    <row r="116" spans="1:3" x14ac:dyDescent="0.25">
      <c r="A116" t="s">
        <v>871</v>
      </c>
      <c r="B116" t="s">
        <v>722</v>
      </c>
      <c r="C116" t="s">
        <v>558</v>
      </c>
    </row>
    <row r="117" spans="1:3" x14ac:dyDescent="0.25">
      <c r="A117" t="s">
        <v>872</v>
      </c>
      <c r="B117" t="s">
        <v>722</v>
      </c>
      <c r="C117" t="s">
        <v>561</v>
      </c>
    </row>
    <row r="118" spans="1:3" x14ac:dyDescent="0.25">
      <c r="A118" t="s">
        <v>873</v>
      </c>
      <c r="B118" t="s">
        <v>722</v>
      </c>
      <c r="C118" t="s">
        <v>563</v>
      </c>
    </row>
    <row r="119" spans="1:3" x14ac:dyDescent="0.25">
      <c r="A119" t="s">
        <v>874</v>
      </c>
      <c r="B119" t="s">
        <v>722</v>
      </c>
      <c r="C119" t="s">
        <v>565</v>
      </c>
    </row>
    <row r="120" spans="1:3" x14ac:dyDescent="0.25">
      <c r="A120" t="s">
        <v>875</v>
      </c>
      <c r="B120" t="s">
        <v>722</v>
      </c>
      <c r="C120" t="s">
        <v>567</v>
      </c>
    </row>
    <row r="121" spans="1:3" x14ac:dyDescent="0.25">
      <c r="A121" t="s">
        <v>876</v>
      </c>
      <c r="B121" t="s">
        <v>722</v>
      </c>
      <c r="C121" t="s">
        <v>570</v>
      </c>
    </row>
    <row r="122" spans="1:3" x14ac:dyDescent="0.25">
      <c r="A122" t="s">
        <v>877</v>
      </c>
      <c r="B122" t="s">
        <v>722</v>
      </c>
      <c r="C122" t="s">
        <v>575</v>
      </c>
    </row>
    <row r="123" spans="1:3" x14ac:dyDescent="0.25">
      <c r="A123" t="s">
        <v>878</v>
      </c>
      <c r="B123" t="s">
        <v>722</v>
      </c>
      <c r="C123" t="s">
        <v>577</v>
      </c>
    </row>
    <row r="124" spans="1:3" x14ac:dyDescent="0.25">
      <c r="A124" t="s">
        <v>879</v>
      </c>
      <c r="B124" t="s">
        <v>722</v>
      </c>
      <c r="C124" t="s">
        <v>579</v>
      </c>
    </row>
    <row r="125" spans="1:3" x14ac:dyDescent="0.25">
      <c r="A125" t="s">
        <v>880</v>
      </c>
      <c r="B125" t="s">
        <v>722</v>
      </c>
      <c r="C125" t="s">
        <v>881</v>
      </c>
    </row>
    <row r="126" spans="1:3" x14ac:dyDescent="0.25">
      <c r="A126" t="s">
        <v>882</v>
      </c>
      <c r="B126" t="s">
        <v>722</v>
      </c>
      <c r="C126" t="s">
        <v>583</v>
      </c>
    </row>
    <row r="127" spans="1:3" x14ac:dyDescent="0.25">
      <c r="A127" t="s">
        <v>883</v>
      </c>
      <c r="B127" t="s">
        <v>722</v>
      </c>
      <c r="C127" t="s">
        <v>585</v>
      </c>
    </row>
    <row r="128" spans="1:3" x14ac:dyDescent="0.25">
      <c r="A128" t="s">
        <v>884</v>
      </c>
      <c r="B128" t="s">
        <v>722</v>
      </c>
      <c r="C128" t="s">
        <v>587</v>
      </c>
    </row>
    <row r="129" spans="1:3" x14ac:dyDescent="0.25">
      <c r="A129" t="s">
        <v>885</v>
      </c>
      <c r="B129" t="s">
        <v>722</v>
      </c>
      <c r="C129" t="s">
        <v>589</v>
      </c>
    </row>
    <row r="130" spans="1:3" x14ac:dyDescent="0.25">
      <c r="A130" t="s">
        <v>886</v>
      </c>
      <c r="B130" t="s">
        <v>722</v>
      </c>
      <c r="C130" t="s">
        <v>591</v>
      </c>
    </row>
    <row r="131" spans="1:3" x14ac:dyDescent="0.25">
      <c r="A131" t="s">
        <v>887</v>
      </c>
      <c r="B131" t="s">
        <v>722</v>
      </c>
      <c r="C131" t="s">
        <v>593</v>
      </c>
    </row>
    <row r="132" spans="1:3" x14ac:dyDescent="0.25">
      <c r="A132" t="s">
        <v>888</v>
      </c>
      <c r="B132" t="s">
        <v>722</v>
      </c>
      <c r="C132" t="s">
        <v>595</v>
      </c>
    </row>
    <row r="133" spans="1:3" x14ac:dyDescent="0.25">
      <c r="A133" t="s">
        <v>889</v>
      </c>
      <c r="B133" t="s">
        <v>722</v>
      </c>
      <c r="C133" t="s">
        <v>598</v>
      </c>
    </row>
    <row r="134" spans="1:3" x14ac:dyDescent="0.25">
      <c r="A134" t="s">
        <v>890</v>
      </c>
      <c r="B134" t="s">
        <v>722</v>
      </c>
      <c r="C134" t="s">
        <v>613</v>
      </c>
    </row>
    <row r="135" spans="1:3" x14ac:dyDescent="0.25">
      <c r="A135" t="s">
        <v>891</v>
      </c>
      <c r="B135" t="s">
        <v>722</v>
      </c>
      <c r="C135" t="s">
        <v>615</v>
      </c>
    </row>
    <row r="136" spans="1:3" x14ac:dyDescent="0.25">
      <c r="A136" t="s">
        <v>892</v>
      </c>
      <c r="B136" t="s">
        <v>722</v>
      </c>
      <c r="C136" t="s">
        <v>617</v>
      </c>
    </row>
    <row r="137" spans="1:3" x14ac:dyDescent="0.25">
      <c r="A137" t="s">
        <v>893</v>
      </c>
      <c r="B137" t="s">
        <v>722</v>
      </c>
      <c r="C137" t="s">
        <v>894</v>
      </c>
    </row>
    <row r="138" spans="1:3" x14ac:dyDescent="0.25">
      <c r="A138" t="s">
        <v>895</v>
      </c>
      <c r="B138" t="s">
        <v>722</v>
      </c>
      <c r="C138" t="s">
        <v>621</v>
      </c>
    </row>
    <row r="139" spans="1:3" x14ac:dyDescent="0.25">
      <c r="A139" t="s">
        <v>896</v>
      </c>
      <c r="B139" t="s">
        <v>722</v>
      </c>
      <c r="C139" t="s">
        <v>623</v>
      </c>
    </row>
    <row r="140" spans="1:3" x14ac:dyDescent="0.25">
      <c r="A140" t="s">
        <v>897</v>
      </c>
      <c r="B140" t="s">
        <v>722</v>
      </c>
      <c r="C140" t="s">
        <v>898</v>
      </c>
    </row>
    <row r="141" spans="1:3" x14ac:dyDescent="0.25">
      <c r="A141" t="s">
        <v>899</v>
      </c>
      <c r="B141" t="s">
        <v>722</v>
      </c>
      <c r="C141" t="s">
        <v>631</v>
      </c>
    </row>
    <row r="142" spans="1:3" x14ac:dyDescent="0.25">
      <c r="A142" t="s">
        <v>900</v>
      </c>
      <c r="B142" t="s">
        <v>722</v>
      </c>
      <c r="C142" t="s">
        <v>633</v>
      </c>
    </row>
    <row r="143" spans="1:3" x14ac:dyDescent="0.25">
      <c r="A143" t="s">
        <v>901</v>
      </c>
      <c r="B143" t="s">
        <v>722</v>
      </c>
      <c r="C143" t="s">
        <v>635</v>
      </c>
    </row>
    <row r="144" spans="1:3" x14ac:dyDescent="0.25">
      <c r="A144" t="s">
        <v>902</v>
      </c>
      <c r="B144" t="s">
        <v>722</v>
      </c>
      <c r="C144" t="s">
        <v>637</v>
      </c>
    </row>
    <row r="145" spans="1:3" x14ac:dyDescent="0.25">
      <c r="A145" t="s">
        <v>903</v>
      </c>
      <c r="B145" t="s">
        <v>722</v>
      </c>
      <c r="C145" t="s">
        <v>639</v>
      </c>
    </row>
    <row r="146" spans="1:3" x14ac:dyDescent="0.25">
      <c r="A146" t="s">
        <v>904</v>
      </c>
      <c r="B146" t="s">
        <v>722</v>
      </c>
      <c r="C146" t="s">
        <v>641</v>
      </c>
    </row>
    <row r="147" spans="1:3" x14ac:dyDescent="0.25">
      <c r="A147" t="s">
        <v>905</v>
      </c>
      <c r="B147" t="s">
        <v>722</v>
      </c>
      <c r="C147" t="s">
        <v>643</v>
      </c>
    </row>
    <row r="148" spans="1:3" x14ac:dyDescent="0.25">
      <c r="A148" t="s">
        <v>906</v>
      </c>
      <c r="B148" t="s">
        <v>722</v>
      </c>
      <c r="C148" t="s">
        <v>645</v>
      </c>
    </row>
    <row r="149" spans="1:3" x14ac:dyDescent="0.25">
      <c r="A149" t="s">
        <v>907</v>
      </c>
      <c r="B149" t="s">
        <v>722</v>
      </c>
      <c r="C149" t="s">
        <v>647</v>
      </c>
    </row>
    <row r="150" spans="1:3" x14ac:dyDescent="0.25">
      <c r="A150" t="s">
        <v>908</v>
      </c>
      <c r="B150" t="s">
        <v>722</v>
      </c>
      <c r="C150" t="s">
        <v>909</v>
      </c>
    </row>
    <row r="151" spans="1:3" x14ac:dyDescent="0.25">
      <c r="A151" t="s">
        <v>910</v>
      </c>
      <c r="B151" t="s">
        <v>722</v>
      </c>
      <c r="C151" t="s">
        <v>651</v>
      </c>
    </row>
    <row r="152" spans="1:3" x14ac:dyDescent="0.25">
      <c r="A152" t="s">
        <v>911</v>
      </c>
      <c r="B152" t="s">
        <v>722</v>
      </c>
      <c r="C152" t="s">
        <v>653</v>
      </c>
    </row>
    <row r="153" spans="1:3" x14ac:dyDescent="0.25">
      <c r="A153" t="s">
        <v>912</v>
      </c>
      <c r="B153" t="s">
        <v>722</v>
      </c>
      <c r="C153" t="s">
        <v>655</v>
      </c>
    </row>
    <row r="154" spans="1:3" x14ac:dyDescent="0.25">
      <c r="A154" t="s">
        <v>913</v>
      </c>
      <c r="B154" t="s">
        <v>722</v>
      </c>
      <c r="C154" t="s">
        <v>658</v>
      </c>
    </row>
    <row r="155" spans="1:3" x14ac:dyDescent="0.25">
      <c r="A155" t="s">
        <v>914</v>
      </c>
      <c r="B155" t="s">
        <v>722</v>
      </c>
      <c r="C155" t="s">
        <v>673</v>
      </c>
    </row>
    <row r="156" spans="1:3" x14ac:dyDescent="0.25">
      <c r="A156" t="s">
        <v>915</v>
      </c>
      <c r="B156" t="s">
        <v>722</v>
      </c>
      <c r="C156" t="s">
        <v>675</v>
      </c>
    </row>
    <row r="157" spans="1:3" x14ac:dyDescent="0.25">
      <c r="A157" t="s">
        <v>916</v>
      </c>
      <c r="B157" t="s">
        <v>722</v>
      </c>
      <c r="C157" t="s">
        <v>677</v>
      </c>
    </row>
    <row r="158" spans="1:3" x14ac:dyDescent="0.25">
      <c r="A158" t="s">
        <v>917</v>
      </c>
      <c r="B158" t="s">
        <v>722</v>
      </c>
      <c r="C158" t="s">
        <v>195</v>
      </c>
    </row>
    <row r="159" spans="1:3" x14ac:dyDescent="0.25">
      <c r="A159" t="s">
        <v>918</v>
      </c>
      <c r="B159" t="s">
        <v>722</v>
      </c>
      <c r="C159" t="s">
        <v>919</v>
      </c>
    </row>
    <row r="160" spans="1:3" x14ac:dyDescent="0.25">
      <c r="A160" t="s">
        <v>920</v>
      </c>
      <c r="B160" t="s">
        <v>722</v>
      </c>
      <c r="C160" t="s">
        <v>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20B5-DE75-4D90-BA78-B992BB15D231}">
  <dimension ref="A1:P45"/>
  <sheetViews>
    <sheetView workbookViewId="0">
      <selection activeCell="G45" sqref="G1:G45"/>
    </sheetView>
  </sheetViews>
  <sheetFormatPr defaultRowHeight="15" x14ac:dyDescent="0.25"/>
  <cols>
    <col min="7" max="7" width="8.85546875" customWidth="1"/>
    <col min="8" max="8" width="9.140625" hidden="1" customWidth="1"/>
  </cols>
  <sheetData>
    <row r="1" spans="1:16" x14ac:dyDescent="0.25">
      <c r="A1" t="str">
        <f>O1</f>
        <v>AUNZ</v>
      </c>
      <c r="B1" t="s">
        <v>743</v>
      </c>
      <c r="C1" t="str">
        <f t="shared" ref="C1:C43" si="0">P1</f>
        <v>Australia, New Zealand, and Oceania islands</v>
      </c>
      <c r="G1" s="4" t="str">
        <f>A1&amp;B1&amp;C1</f>
        <v>AUNZ &amp; Australia, New Zealand, and Oceania islands</v>
      </c>
      <c r="O1" t="s">
        <v>220</v>
      </c>
      <c r="P1" t="s">
        <v>199</v>
      </c>
    </row>
    <row r="2" spans="1:16" x14ac:dyDescent="0.25">
      <c r="A2" t="str">
        <f>O2</f>
        <v>China</v>
      </c>
      <c r="B2" t="s">
        <v>743</v>
      </c>
      <c r="C2" t="str">
        <f t="shared" si="0"/>
        <v>China</v>
      </c>
      <c r="G2" s="4" t="str">
        <f t="shared" ref="G2:G43" si="1">A2&amp;B2&amp;C2</f>
        <v>China &amp; China</v>
      </c>
      <c r="O2" t="s">
        <v>204</v>
      </c>
      <c r="P2" t="s">
        <v>204</v>
      </c>
    </row>
    <row r="3" spans="1:16" x14ac:dyDescent="0.25">
      <c r="A3" t="str">
        <f t="shared" ref="A3:A4" si="2">O3</f>
        <v>JPNKOR</v>
      </c>
      <c r="B3" t="s">
        <v>743</v>
      </c>
      <c r="C3" t="str">
        <f t="shared" si="0"/>
        <v>Japan Korea</v>
      </c>
      <c r="G3" s="4" t="str">
        <f t="shared" si="1"/>
        <v>JPNKOR &amp; Japan Korea</v>
      </c>
      <c r="O3" t="s">
        <v>283</v>
      </c>
      <c r="P3" t="s">
        <v>284</v>
      </c>
    </row>
    <row r="4" spans="1:16" x14ac:dyDescent="0.25">
      <c r="A4" t="str">
        <f t="shared" si="2"/>
        <v>REastAsia</v>
      </c>
      <c r="B4" t="s">
        <v>743</v>
      </c>
      <c r="C4" t="str">
        <f t="shared" si="0"/>
        <v>Rest of East Asia</v>
      </c>
      <c r="G4" s="4" t="str">
        <f t="shared" si="1"/>
        <v>REastAsia &amp; Rest of East Asia</v>
      </c>
      <c r="O4" t="s">
        <v>289</v>
      </c>
      <c r="P4" t="s">
        <v>290</v>
      </c>
    </row>
    <row r="5" spans="1:16" x14ac:dyDescent="0.25">
      <c r="A5" t="str">
        <f t="shared" ref="A5:A43" si="3">O5</f>
        <v>Indonesia</v>
      </c>
      <c r="B5" t="s">
        <v>743</v>
      </c>
      <c r="C5" t="str">
        <f t="shared" si="0"/>
        <v>Indonesia</v>
      </c>
      <c r="G5" s="4" t="str">
        <f t="shared" si="1"/>
        <v>Indonesia &amp; Indonesia</v>
      </c>
      <c r="O5" s="1" t="s">
        <v>200</v>
      </c>
      <c r="P5" s="1" t="s">
        <v>200</v>
      </c>
    </row>
    <row r="6" spans="1:16" x14ac:dyDescent="0.25">
      <c r="A6" t="str">
        <f t="shared" si="3"/>
        <v>RSouthAsia</v>
      </c>
      <c r="B6" t="s">
        <v>743</v>
      </c>
      <c r="C6" t="str">
        <f t="shared" si="0"/>
        <v>Rest of South Asia</v>
      </c>
      <c r="G6" s="4" t="str">
        <f t="shared" si="1"/>
        <v>RSouthAsia &amp; Rest of South Asia</v>
      </c>
      <c r="O6" t="s">
        <v>323</v>
      </c>
      <c r="P6" t="s">
        <v>324</v>
      </c>
    </row>
    <row r="7" spans="1:16" x14ac:dyDescent="0.25">
      <c r="A7" t="str">
        <f t="shared" si="3"/>
        <v>India</v>
      </c>
      <c r="B7" t="s">
        <v>743</v>
      </c>
      <c r="C7" t="str">
        <f t="shared" si="0"/>
        <v>India</v>
      </c>
      <c r="G7" s="4" t="str">
        <f t="shared" si="1"/>
        <v>India &amp; India</v>
      </c>
      <c r="O7" t="s">
        <v>193</v>
      </c>
      <c r="P7" t="s">
        <v>193</v>
      </c>
    </row>
    <row r="8" spans="1:16" x14ac:dyDescent="0.25">
      <c r="A8" t="str">
        <f t="shared" si="3"/>
        <v>Canada</v>
      </c>
      <c r="B8" t="s">
        <v>743</v>
      </c>
      <c r="C8" t="str">
        <f t="shared" si="0"/>
        <v>Canada</v>
      </c>
      <c r="G8" s="4" t="str">
        <f t="shared" si="1"/>
        <v>Canada &amp; Canada</v>
      </c>
      <c r="O8" t="s">
        <v>205</v>
      </c>
      <c r="P8" t="s">
        <v>205</v>
      </c>
    </row>
    <row r="9" spans="1:16" x14ac:dyDescent="0.25">
      <c r="A9" t="str">
        <f t="shared" si="3"/>
        <v>USA</v>
      </c>
      <c r="B9" t="s">
        <v>743</v>
      </c>
      <c r="C9" t="str">
        <f t="shared" si="0"/>
        <v>United States</v>
      </c>
      <c r="G9" s="4" t="str">
        <f t="shared" si="1"/>
        <v>USA &amp; United States</v>
      </c>
      <c r="O9" t="s">
        <v>340</v>
      </c>
      <c r="P9" t="s">
        <v>201</v>
      </c>
    </row>
    <row r="10" spans="1:16" x14ac:dyDescent="0.25">
      <c r="A10" t="str">
        <f t="shared" si="3"/>
        <v>Mexico</v>
      </c>
      <c r="B10" t="s">
        <v>743</v>
      </c>
      <c r="C10" t="str">
        <f t="shared" si="0"/>
        <v>Mexico</v>
      </c>
      <c r="G10" s="4" t="str">
        <f t="shared" si="1"/>
        <v>Mexico &amp; Mexico</v>
      </c>
      <c r="O10" s="1" t="s">
        <v>202</v>
      </c>
      <c r="P10" s="1" t="s">
        <v>202</v>
      </c>
    </row>
    <row r="11" spans="1:16" x14ac:dyDescent="0.25">
      <c r="A11" t="str">
        <f t="shared" si="3"/>
        <v>Brazil</v>
      </c>
      <c r="B11" t="s">
        <v>743</v>
      </c>
      <c r="C11" t="str">
        <f t="shared" si="0"/>
        <v>Brazil</v>
      </c>
      <c r="G11" s="4" t="str">
        <f t="shared" si="1"/>
        <v>Brazil &amp; Brazil</v>
      </c>
      <c r="O11" t="s">
        <v>203</v>
      </c>
      <c r="P11" t="s">
        <v>203</v>
      </c>
    </row>
    <row r="12" spans="1:16" x14ac:dyDescent="0.25">
      <c r="A12" t="str">
        <f t="shared" si="3"/>
        <v>LACA</v>
      </c>
      <c r="B12" t="s">
        <v>743</v>
      </c>
      <c r="C12" t="str">
        <f t="shared" si="0"/>
        <v>Latin America and the Caribbean</v>
      </c>
      <c r="G12" s="4" t="str">
        <f t="shared" si="1"/>
        <v>LACA &amp; Latin America and the Caribbean</v>
      </c>
      <c r="O12" t="s">
        <v>342</v>
      </c>
      <c r="P12" t="s">
        <v>343</v>
      </c>
    </row>
    <row r="13" spans="1:16" x14ac:dyDescent="0.25">
      <c r="A13" t="str">
        <f t="shared" si="3"/>
        <v>aut</v>
      </c>
      <c r="B13" t="s">
        <v>743</v>
      </c>
      <c r="C13" t="str">
        <f t="shared" si="0"/>
        <v>Austria</v>
      </c>
      <c r="G13" s="4" t="str">
        <f t="shared" si="1"/>
        <v>aut &amp; Austria</v>
      </c>
      <c r="O13" t="s">
        <v>175</v>
      </c>
      <c r="P13" t="s">
        <v>807</v>
      </c>
    </row>
    <row r="14" spans="1:16" x14ac:dyDescent="0.25">
      <c r="A14" t="str">
        <f t="shared" si="3"/>
        <v>bel</v>
      </c>
      <c r="B14" t="s">
        <v>743</v>
      </c>
      <c r="C14" t="str">
        <f t="shared" si="0"/>
        <v>Belgium</v>
      </c>
      <c r="G14" s="4" t="str">
        <f t="shared" si="1"/>
        <v>bel &amp; Belgium</v>
      </c>
      <c r="O14" t="s">
        <v>176</v>
      </c>
      <c r="P14" t="s">
        <v>808</v>
      </c>
    </row>
    <row r="15" spans="1:16" x14ac:dyDescent="0.25">
      <c r="A15" t="str">
        <f t="shared" si="3"/>
        <v>bgr</v>
      </c>
      <c r="B15" t="s">
        <v>743</v>
      </c>
      <c r="C15" t="str">
        <f t="shared" si="0"/>
        <v>Bulgaria</v>
      </c>
      <c r="G15" s="4" t="str">
        <f t="shared" si="1"/>
        <v>bgr &amp; Bulgaria</v>
      </c>
      <c r="O15" t="s">
        <v>12</v>
      </c>
      <c r="P15" t="s">
        <v>809</v>
      </c>
    </row>
    <row r="16" spans="1:16" x14ac:dyDescent="0.25">
      <c r="A16" t="str">
        <f t="shared" si="3"/>
        <v>hrv</v>
      </c>
      <c r="B16" t="s">
        <v>743</v>
      </c>
      <c r="C16" t="str">
        <f t="shared" si="0"/>
        <v>Croatia</v>
      </c>
      <c r="G16" s="4" t="str">
        <f t="shared" si="1"/>
        <v>hrv &amp; Croatia</v>
      </c>
      <c r="O16" t="s">
        <v>13</v>
      </c>
      <c r="P16" t="s">
        <v>810</v>
      </c>
    </row>
    <row r="17" spans="1:16" x14ac:dyDescent="0.25">
      <c r="A17" t="str">
        <f t="shared" si="3"/>
        <v>cyp</v>
      </c>
      <c r="B17" t="s">
        <v>743</v>
      </c>
      <c r="C17" t="str">
        <f t="shared" si="0"/>
        <v>Cyprus</v>
      </c>
      <c r="G17" s="4" t="str">
        <f t="shared" si="1"/>
        <v>cyp &amp; Cyprus</v>
      </c>
      <c r="O17" t="s">
        <v>0</v>
      </c>
      <c r="P17" t="s">
        <v>811</v>
      </c>
    </row>
    <row r="18" spans="1:16" x14ac:dyDescent="0.25">
      <c r="A18" t="str">
        <f t="shared" si="3"/>
        <v>cze</v>
      </c>
      <c r="B18" t="s">
        <v>743</v>
      </c>
      <c r="C18" t="str">
        <f t="shared" si="0"/>
        <v>Czechia</v>
      </c>
      <c r="G18" s="4" t="str">
        <f t="shared" si="1"/>
        <v>cze &amp; Czechia</v>
      </c>
      <c r="O18" t="s">
        <v>177</v>
      </c>
      <c r="P18" t="s">
        <v>812</v>
      </c>
    </row>
    <row r="19" spans="1:16" x14ac:dyDescent="0.25">
      <c r="A19" t="str">
        <f t="shared" si="3"/>
        <v>dnk</v>
      </c>
      <c r="B19" t="s">
        <v>743</v>
      </c>
      <c r="C19" t="str">
        <f t="shared" si="0"/>
        <v>Denmark</v>
      </c>
      <c r="G19" s="4" t="str">
        <f t="shared" si="1"/>
        <v>dnk &amp; Denmark</v>
      </c>
      <c r="O19" t="s">
        <v>1</v>
      </c>
      <c r="P19" t="s">
        <v>813</v>
      </c>
    </row>
    <row r="20" spans="1:16" x14ac:dyDescent="0.25">
      <c r="A20" t="str">
        <f t="shared" si="3"/>
        <v>est</v>
      </c>
      <c r="B20" t="s">
        <v>743</v>
      </c>
      <c r="C20" t="str">
        <f t="shared" si="0"/>
        <v>Estonia</v>
      </c>
      <c r="G20" s="4" t="str">
        <f t="shared" si="1"/>
        <v>est &amp; Estonia</v>
      </c>
      <c r="O20" t="s">
        <v>2</v>
      </c>
      <c r="P20" t="s">
        <v>814</v>
      </c>
    </row>
    <row r="21" spans="1:16" x14ac:dyDescent="0.25">
      <c r="A21" t="str">
        <f t="shared" si="3"/>
        <v>fin</v>
      </c>
      <c r="B21" t="s">
        <v>743</v>
      </c>
      <c r="C21" t="str">
        <f t="shared" si="0"/>
        <v>Finland</v>
      </c>
      <c r="G21" s="4" t="str">
        <f t="shared" si="1"/>
        <v>fin &amp; Finland</v>
      </c>
      <c r="O21" t="s">
        <v>3</v>
      </c>
      <c r="P21" t="s">
        <v>815</v>
      </c>
    </row>
    <row r="22" spans="1:16" x14ac:dyDescent="0.25">
      <c r="A22" t="str">
        <f t="shared" si="3"/>
        <v>fra</v>
      </c>
      <c r="B22" t="s">
        <v>743</v>
      </c>
      <c r="C22" t="str">
        <f t="shared" si="0"/>
        <v>France</v>
      </c>
      <c r="G22" s="4" t="str">
        <f t="shared" si="1"/>
        <v>fra &amp; France</v>
      </c>
      <c r="O22" t="s">
        <v>178</v>
      </c>
      <c r="P22" t="s">
        <v>816</v>
      </c>
    </row>
    <row r="23" spans="1:16" x14ac:dyDescent="0.25">
      <c r="A23" t="str">
        <f t="shared" si="3"/>
        <v>deu</v>
      </c>
      <c r="B23" t="s">
        <v>743</v>
      </c>
      <c r="C23" t="str">
        <f t="shared" si="0"/>
        <v>Germany</v>
      </c>
      <c r="G23" s="4" t="str">
        <f t="shared" si="1"/>
        <v>deu &amp; Germany</v>
      </c>
      <c r="O23" t="s">
        <v>179</v>
      </c>
      <c r="P23" t="s">
        <v>817</v>
      </c>
    </row>
    <row r="24" spans="1:16" x14ac:dyDescent="0.25">
      <c r="A24" t="str">
        <f t="shared" si="3"/>
        <v>grc</v>
      </c>
      <c r="B24" t="s">
        <v>743</v>
      </c>
      <c r="C24" t="str">
        <f t="shared" si="0"/>
        <v>Greece</v>
      </c>
      <c r="G24" s="4" t="str">
        <f t="shared" si="1"/>
        <v>grc &amp; Greece</v>
      </c>
      <c r="O24" t="s">
        <v>180</v>
      </c>
      <c r="P24" t="s">
        <v>818</v>
      </c>
    </row>
    <row r="25" spans="1:16" x14ac:dyDescent="0.25">
      <c r="A25" t="str">
        <f t="shared" si="3"/>
        <v>hun</v>
      </c>
      <c r="B25" t="s">
        <v>743</v>
      </c>
      <c r="C25" t="str">
        <f t="shared" si="0"/>
        <v>Hungary</v>
      </c>
      <c r="G25" s="4" t="str">
        <f t="shared" si="1"/>
        <v>hun &amp; Hungary</v>
      </c>
      <c r="O25" t="s">
        <v>4</v>
      </c>
      <c r="P25" t="s">
        <v>819</v>
      </c>
    </row>
    <row r="26" spans="1:16" x14ac:dyDescent="0.25">
      <c r="A26" t="str">
        <f t="shared" si="3"/>
        <v>irl</v>
      </c>
      <c r="B26" t="s">
        <v>743</v>
      </c>
      <c r="C26" t="str">
        <f t="shared" si="0"/>
        <v>Ireland</v>
      </c>
      <c r="G26" s="4" t="str">
        <f t="shared" si="1"/>
        <v>irl &amp; Ireland</v>
      </c>
      <c r="O26" t="s">
        <v>5</v>
      </c>
      <c r="P26" t="s">
        <v>820</v>
      </c>
    </row>
    <row r="27" spans="1:16" x14ac:dyDescent="0.25">
      <c r="A27" t="str">
        <f t="shared" si="3"/>
        <v>ita</v>
      </c>
      <c r="B27" t="s">
        <v>743</v>
      </c>
      <c r="C27" t="str">
        <f t="shared" si="0"/>
        <v>Italy</v>
      </c>
      <c r="G27" s="4" t="str">
        <f t="shared" si="1"/>
        <v>ita &amp; Italy</v>
      </c>
      <c r="O27" t="s">
        <v>181</v>
      </c>
      <c r="P27" t="s">
        <v>821</v>
      </c>
    </row>
    <row r="28" spans="1:16" x14ac:dyDescent="0.25">
      <c r="A28" t="str">
        <f t="shared" si="3"/>
        <v>lva</v>
      </c>
      <c r="B28" t="s">
        <v>743</v>
      </c>
      <c r="C28" t="str">
        <f t="shared" si="0"/>
        <v>Latvia</v>
      </c>
      <c r="G28" s="4" t="str">
        <f t="shared" si="1"/>
        <v>lva &amp; Latvia</v>
      </c>
      <c r="O28" t="s">
        <v>6</v>
      </c>
      <c r="P28" t="s">
        <v>822</v>
      </c>
    </row>
    <row r="29" spans="1:16" x14ac:dyDescent="0.25">
      <c r="A29" t="str">
        <f t="shared" si="3"/>
        <v>ltu</v>
      </c>
      <c r="B29" t="s">
        <v>743</v>
      </c>
      <c r="C29" t="str">
        <f t="shared" si="0"/>
        <v>Lithuania</v>
      </c>
      <c r="G29" s="4" t="str">
        <f t="shared" si="1"/>
        <v>ltu &amp; Lithuania</v>
      </c>
      <c r="O29" t="s">
        <v>7</v>
      </c>
      <c r="P29" t="s">
        <v>823</v>
      </c>
    </row>
    <row r="30" spans="1:16" x14ac:dyDescent="0.25">
      <c r="A30" t="str">
        <f t="shared" si="3"/>
        <v>lux</v>
      </c>
      <c r="B30" t="s">
        <v>743</v>
      </c>
      <c r="C30" t="str">
        <f t="shared" si="0"/>
        <v>Luxembourg</v>
      </c>
      <c r="G30" s="4" t="str">
        <f t="shared" si="1"/>
        <v>lux &amp; Luxembourg</v>
      </c>
      <c r="O30" t="s">
        <v>8</v>
      </c>
      <c r="P30" t="s">
        <v>824</v>
      </c>
    </row>
    <row r="31" spans="1:16" x14ac:dyDescent="0.25">
      <c r="A31" t="str">
        <f t="shared" si="3"/>
        <v>mlt</v>
      </c>
      <c r="B31" t="s">
        <v>743</v>
      </c>
      <c r="C31" t="str">
        <f t="shared" si="0"/>
        <v>Malta</v>
      </c>
      <c r="G31" s="4" t="str">
        <f t="shared" si="1"/>
        <v>mlt &amp; Malta</v>
      </c>
      <c r="O31" t="s">
        <v>9</v>
      </c>
      <c r="P31" t="s">
        <v>825</v>
      </c>
    </row>
    <row r="32" spans="1:16" x14ac:dyDescent="0.25">
      <c r="A32" t="str">
        <f t="shared" si="3"/>
        <v>nld</v>
      </c>
      <c r="B32" t="s">
        <v>743</v>
      </c>
      <c r="C32" t="str">
        <f t="shared" si="0"/>
        <v>Netherlands</v>
      </c>
      <c r="G32" s="4" t="str">
        <f t="shared" si="1"/>
        <v>nld &amp; Netherlands</v>
      </c>
      <c r="O32" t="s">
        <v>182</v>
      </c>
      <c r="P32" t="s">
        <v>826</v>
      </c>
    </row>
    <row r="33" spans="1:16" x14ac:dyDescent="0.25">
      <c r="A33" t="str">
        <f t="shared" si="3"/>
        <v>pol</v>
      </c>
      <c r="B33" t="s">
        <v>743</v>
      </c>
      <c r="C33" t="str">
        <f t="shared" si="0"/>
        <v>Poland</v>
      </c>
      <c r="G33" s="4" t="str">
        <f t="shared" si="1"/>
        <v>pol &amp; Poland</v>
      </c>
      <c r="O33" t="s">
        <v>183</v>
      </c>
      <c r="P33" t="s">
        <v>827</v>
      </c>
    </row>
    <row r="34" spans="1:16" x14ac:dyDescent="0.25">
      <c r="A34" t="str">
        <f t="shared" si="3"/>
        <v>prt</v>
      </c>
      <c r="B34" t="s">
        <v>743</v>
      </c>
      <c r="C34" t="str">
        <f t="shared" si="0"/>
        <v>Portugal</v>
      </c>
      <c r="G34" s="4" t="str">
        <f t="shared" si="1"/>
        <v>prt &amp; Portugal</v>
      </c>
      <c r="O34" t="s">
        <v>184</v>
      </c>
      <c r="P34" t="s">
        <v>828</v>
      </c>
    </row>
    <row r="35" spans="1:16" x14ac:dyDescent="0.25">
      <c r="A35" t="str">
        <f t="shared" si="3"/>
        <v>rou</v>
      </c>
      <c r="B35" t="s">
        <v>743</v>
      </c>
      <c r="C35" t="str">
        <f t="shared" si="0"/>
        <v>Romania</v>
      </c>
      <c r="G35" s="4" t="str">
        <f t="shared" si="1"/>
        <v>rou &amp; Romania</v>
      </c>
      <c r="O35" t="s">
        <v>14</v>
      </c>
      <c r="P35" t="s">
        <v>829</v>
      </c>
    </row>
    <row r="36" spans="1:16" x14ac:dyDescent="0.25">
      <c r="A36" t="str">
        <f t="shared" si="3"/>
        <v>svk</v>
      </c>
      <c r="B36" t="s">
        <v>743</v>
      </c>
      <c r="C36" t="str">
        <f t="shared" si="0"/>
        <v>Slovakia</v>
      </c>
      <c r="G36" s="4" t="str">
        <f t="shared" si="1"/>
        <v>svk &amp; Slovakia</v>
      </c>
      <c r="O36" t="s">
        <v>10</v>
      </c>
      <c r="P36" t="s">
        <v>830</v>
      </c>
    </row>
    <row r="37" spans="1:16" x14ac:dyDescent="0.25">
      <c r="A37" t="str">
        <f t="shared" si="3"/>
        <v>svn</v>
      </c>
      <c r="B37" t="s">
        <v>743</v>
      </c>
      <c r="C37" t="str">
        <f t="shared" si="0"/>
        <v>Slovinia</v>
      </c>
      <c r="G37" s="4" t="str">
        <f t="shared" si="1"/>
        <v>svn &amp; Slovinia</v>
      </c>
      <c r="O37" t="s">
        <v>11</v>
      </c>
      <c r="P37" t="s">
        <v>921</v>
      </c>
    </row>
    <row r="38" spans="1:16" x14ac:dyDescent="0.25">
      <c r="A38" t="str">
        <f t="shared" si="3"/>
        <v>esp</v>
      </c>
      <c r="B38" t="s">
        <v>743</v>
      </c>
      <c r="C38" t="str">
        <f t="shared" si="0"/>
        <v>Spain</v>
      </c>
      <c r="G38" s="4" t="str">
        <f t="shared" si="1"/>
        <v>esp &amp; Spain</v>
      </c>
      <c r="O38" t="s">
        <v>185</v>
      </c>
      <c r="P38" t="s">
        <v>832</v>
      </c>
    </row>
    <row r="39" spans="1:16" x14ac:dyDescent="0.25">
      <c r="A39" t="str">
        <f t="shared" si="3"/>
        <v>swe</v>
      </c>
      <c r="B39" t="s">
        <v>743</v>
      </c>
      <c r="C39" t="str">
        <f t="shared" si="0"/>
        <v>Sweden</v>
      </c>
      <c r="G39" s="4" t="str">
        <f t="shared" si="1"/>
        <v>swe &amp; Sweden</v>
      </c>
      <c r="O39" t="s">
        <v>186</v>
      </c>
      <c r="P39" t="s">
        <v>833</v>
      </c>
    </row>
    <row r="40" spans="1:16" x14ac:dyDescent="0.25">
      <c r="A40" t="str">
        <f t="shared" si="3"/>
        <v>gbr</v>
      </c>
      <c r="B40" t="s">
        <v>743</v>
      </c>
      <c r="C40" t="str">
        <f t="shared" si="0"/>
        <v>UK</v>
      </c>
      <c r="G40" s="4" t="str">
        <f t="shared" si="1"/>
        <v>gbr &amp; UK</v>
      </c>
      <c r="O40" t="s">
        <v>187</v>
      </c>
      <c r="P40" t="s">
        <v>922</v>
      </c>
    </row>
    <row r="41" spans="1:16" x14ac:dyDescent="0.25">
      <c r="A41" t="str">
        <f t="shared" si="3"/>
        <v>REurope</v>
      </c>
      <c r="B41" t="s">
        <v>743</v>
      </c>
      <c r="C41" t="str">
        <f t="shared" si="0"/>
        <v>REurope</v>
      </c>
      <c r="G41" s="4" t="str">
        <f t="shared" si="1"/>
        <v>REurope &amp; REurope</v>
      </c>
      <c r="O41" t="s">
        <v>191</v>
      </c>
      <c r="P41" t="s">
        <v>191</v>
      </c>
    </row>
    <row r="42" spans="1:16" x14ac:dyDescent="0.25">
      <c r="A42" t="str">
        <f t="shared" si="3"/>
        <v>FSU</v>
      </c>
      <c r="B42" t="s">
        <v>743</v>
      </c>
      <c r="C42" t="str">
        <f t="shared" si="0"/>
        <v>Former Soviet Union</v>
      </c>
      <c r="G42" s="4" t="str">
        <f t="shared" si="1"/>
        <v>FSU &amp; Former Soviet Union</v>
      </c>
      <c r="O42" t="s">
        <v>15</v>
      </c>
      <c r="P42" t="s">
        <v>471</v>
      </c>
    </row>
    <row r="43" spans="1:16" x14ac:dyDescent="0.25">
      <c r="A43" t="str">
        <f t="shared" si="3"/>
        <v>MENA</v>
      </c>
      <c r="B43" t="s">
        <v>743</v>
      </c>
      <c r="C43" t="str">
        <f t="shared" si="0"/>
        <v>Middle East and North Africa</v>
      </c>
      <c r="G43" s="4" t="str">
        <f t="shared" si="1"/>
        <v>MENA &amp; Middle East and North Africa</v>
      </c>
      <c r="O43" t="s">
        <v>196</v>
      </c>
      <c r="P43" t="s">
        <v>207</v>
      </c>
    </row>
    <row r="44" spans="1:16" x14ac:dyDescent="0.25">
      <c r="A44" t="str">
        <f t="shared" ref="A44:A45" si="4">O44</f>
        <v>SAfrica</v>
      </c>
      <c r="B44" t="s">
        <v>743</v>
      </c>
      <c r="C44" t="str">
        <f t="shared" ref="C44:C45" si="5">P44</f>
        <v>South Africa</v>
      </c>
      <c r="G44" s="4" t="str">
        <f t="shared" ref="G44:G45" si="6">A44&amp;B44&amp;C44</f>
        <v>SAfrica &amp; South Africa</v>
      </c>
      <c r="O44" t="s">
        <v>679</v>
      </c>
      <c r="P44" t="s">
        <v>195</v>
      </c>
    </row>
    <row r="45" spans="1:16" x14ac:dyDescent="0.25">
      <c r="A45" t="str">
        <f t="shared" si="4"/>
        <v>SSA</v>
      </c>
      <c r="B45" t="s">
        <v>743</v>
      </c>
      <c r="C45" t="str">
        <f t="shared" si="5"/>
        <v>Sub-Saharan Africa</v>
      </c>
      <c r="G45" s="4" t="str">
        <f t="shared" si="6"/>
        <v>SSA &amp; Sub-Saharan Africa</v>
      </c>
      <c r="O45" t="s">
        <v>16</v>
      </c>
      <c r="P45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12E2-103D-48DF-A4CE-9AA7B73CA989}">
  <dimension ref="A1:A129"/>
  <sheetViews>
    <sheetView workbookViewId="0">
      <selection activeCell="B3" sqref="B3"/>
    </sheetView>
  </sheetViews>
  <sheetFormatPr defaultRowHeight="15" x14ac:dyDescent="0.25"/>
  <sheetData>
    <row r="1" spans="1:1" x14ac:dyDescent="0.25">
      <c r="A1" t="s">
        <v>923</v>
      </c>
    </row>
    <row r="2" spans="1:1" x14ac:dyDescent="0.25">
      <c r="A2" t="s">
        <v>924</v>
      </c>
    </row>
    <row r="3" spans="1:1" x14ac:dyDescent="0.25">
      <c r="A3" t="s">
        <v>925</v>
      </c>
    </row>
    <row r="4" spans="1:1" x14ac:dyDescent="0.25">
      <c r="A4" t="s">
        <v>926</v>
      </c>
    </row>
    <row r="5" spans="1:1" x14ac:dyDescent="0.25">
      <c r="A5" t="s">
        <v>927</v>
      </c>
    </row>
    <row r="6" spans="1:1" x14ac:dyDescent="0.25">
      <c r="A6" t="s">
        <v>928</v>
      </c>
    </row>
    <row r="7" spans="1:1" x14ac:dyDescent="0.25">
      <c r="A7" t="s">
        <v>929</v>
      </c>
    </row>
    <row r="8" spans="1:1" x14ac:dyDescent="0.25">
      <c r="A8" t="s">
        <v>930</v>
      </c>
    </row>
    <row r="9" spans="1:1" x14ac:dyDescent="0.25">
      <c r="A9" t="s">
        <v>931</v>
      </c>
    </row>
    <row r="10" spans="1:1" x14ac:dyDescent="0.25">
      <c r="A10" t="s">
        <v>932</v>
      </c>
    </row>
    <row r="11" spans="1:1" x14ac:dyDescent="0.25">
      <c r="A11" t="s">
        <v>933</v>
      </c>
    </row>
    <row r="12" spans="1:1" x14ac:dyDescent="0.25">
      <c r="A12" t="s">
        <v>934</v>
      </c>
    </row>
    <row r="13" spans="1:1" x14ac:dyDescent="0.25">
      <c r="A13" t="s">
        <v>935</v>
      </c>
    </row>
    <row r="14" spans="1:1" x14ac:dyDescent="0.25">
      <c r="A14" t="s">
        <v>936</v>
      </c>
    </row>
    <row r="15" spans="1:1" x14ac:dyDescent="0.25">
      <c r="A15" t="s">
        <v>937</v>
      </c>
    </row>
    <row r="16" spans="1:1" x14ac:dyDescent="0.25">
      <c r="A16" t="s">
        <v>938</v>
      </c>
    </row>
    <row r="17" spans="1:1" x14ac:dyDescent="0.25">
      <c r="A17" t="s">
        <v>939</v>
      </c>
    </row>
    <row r="18" spans="1:1" x14ac:dyDescent="0.25">
      <c r="A18" t="s">
        <v>940</v>
      </c>
    </row>
    <row r="19" spans="1:1" x14ac:dyDescent="0.25">
      <c r="A19" t="s">
        <v>941</v>
      </c>
    </row>
    <row r="20" spans="1:1" x14ac:dyDescent="0.25">
      <c r="A20" t="s">
        <v>942</v>
      </c>
    </row>
    <row r="21" spans="1:1" x14ac:dyDescent="0.25">
      <c r="A21" t="s">
        <v>943</v>
      </c>
    </row>
    <row r="22" spans="1:1" x14ac:dyDescent="0.25">
      <c r="A22" t="s">
        <v>944</v>
      </c>
    </row>
    <row r="23" spans="1:1" x14ac:dyDescent="0.25">
      <c r="A23" t="s">
        <v>945</v>
      </c>
    </row>
    <row r="24" spans="1:1" x14ac:dyDescent="0.25">
      <c r="A24" t="s">
        <v>946</v>
      </c>
    </row>
    <row r="25" spans="1:1" x14ac:dyDescent="0.25">
      <c r="A25" t="s">
        <v>947</v>
      </c>
    </row>
    <row r="26" spans="1:1" x14ac:dyDescent="0.25">
      <c r="A26" t="s">
        <v>948</v>
      </c>
    </row>
    <row r="27" spans="1:1" x14ac:dyDescent="0.25">
      <c r="A27" t="s">
        <v>949</v>
      </c>
    </row>
    <row r="28" spans="1:1" x14ac:dyDescent="0.25">
      <c r="A28" t="s">
        <v>950</v>
      </c>
    </row>
    <row r="29" spans="1:1" x14ac:dyDescent="0.25">
      <c r="A29" t="s">
        <v>951</v>
      </c>
    </row>
    <row r="30" spans="1:1" x14ac:dyDescent="0.25">
      <c r="A30" t="s">
        <v>952</v>
      </c>
    </row>
    <row r="31" spans="1:1" x14ac:dyDescent="0.25">
      <c r="A31" t="s">
        <v>953</v>
      </c>
    </row>
    <row r="32" spans="1:1" x14ac:dyDescent="0.25">
      <c r="A32" t="s">
        <v>954</v>
      </c>
    </row>
    <row r="33" spans="1:1" x14ac:dyDescent="0.25">
      <c r="A33" t="s">
        <v>955</v>
      </c>
    </row>
    <row r="34" spans="1:1" x14ac:dyDescent="0.25">
      <c r="A34" t="s">
        <v>956</v>
      </c>
    </row>
    <row r="35" spans="1:1" x14ac:dyDescent="0.25">
      <c r="A35" t="s">
        <v>957</v>
      </c>
    </row>
    <row r="36" spans="1:1" x14ac:dyDescent="0.25">
      <c r="A36" t="s">
        <v>958</v>
      </c>
    </row>
    <row r="37" spans="1:1" x14ac:dyDescent="0.25">
      <c r="A37" t="s">
        <v>959</v>
      </c>
    </row>
    <row r="38" spans="1:1" x14ac:dyDescent="0.25">
      <c r="A38" t="s">
        <v>960</v>
      </c>
    </row>
    <row r="39" spans="1:1" x14ac:dyDescent="0.25">
      <c r="A39" t="s">
        <v>961</v>
      </c>
    </row>
    <row r="40" spans="1:1" x14ac:dyDescent="0.25">
      <c r="A40" t="s">
        <v>962</v>
      </c>
    </row>
    <row r="41" spans="1:1" x14ac:dyDescent="0.25">
      <c r="A41" t="s">
        <v>963</v>
      </c>
    </row>
    <row r="42" spans="1:1" x14ac:dyDescent="0.25">
      <c r="A42" t="s">
        <v>964</v>
      </c>
    </row>
    <row r="43" spans="1:1" x14ac:dyDescent="0.25">
      <c r="A43" t="s">
        <v>965</v>
      </c>
    </row>
    <row r="44" spans="1:1" x14ac:dyDescent="0.25">
      <c r="A44" t="s">
        <v>966</v>
      </c>
    </row>
    <row r="45" spans="1:1" x14ac:dyDescent="0.25">
      <c r="A45" t="s">
        <v>967</v>
      </c>
    </row>
    <row r="46" spans="1:1" x14ac:dyDescent="0.25">
      <c r="A46" t="s">
        <v>968</v>
      </c>
    </row>
    <row r="47" spans="1:1" x14ac:dyDescent="0.25">
      <c r="A47" t="s">
        <v>969</v>
      </c>
    </row>
    <row r="48" spans="1:1" x14ac:dyDescent="0.25">
      <c r="A48" t="s">
        <v>970</v>
      </c>
    </row>
    <row r="49" spans="1:1" x14ac:dyDescent="0.25">
      <c r="A49" t="s">
        <v>971</v>
      </c>
    </row>
    <row r="50" spans="1:1" x14ac:dyDescent="0.25">
      <c r="A50" t="s">
        <v>972</v>
      </c>
    </row>
    <row r="51" spans="1:1" x14ac:dyDescent="0.25">
      <c r="A51" t="s">
        <v>973</v>
      </c>
    </row>
    <row r="52" spans="1:1" x14ac:dyDescent="0.25">
      <c r="A52" t="s">
        <v>974</v>
      </c>
    </row>
    <row r="53" spans="1:1" x14ac:dyDescent="0.25">
      <c r="A53" t="s">
        <v>975</v>
      </c>
    </row>
    <row r="54" spans="1:1" x14ac:dyDescent="0.25">
      <c r="A54" t="s">
        <v>976</v>
      </c>
    </row>
    <row r="55" spans="1:1" x14ac:dyDescent="0.25">
      <c r="A55" t="s">
        <v>977</v>
      </c>
    </row>
    <row r="56" spans="1:1" x14ac:dyDescent="0.25">
      <c r="A56" t="s">
        <v>978</v>
      </c>
    </row>
    <row r="57" spans="1:1" x14ac:dyDescent="0.25">
      <c r="A57" t="s">
        <v>979</v>
      </c>
    </row>
    <row r="58" spans="1:1" x14ac:dyDescent="0.25">
      <c r="A58" t="s">
        <v>980</v>
      </c>
    </row>
    <row r="59" spans="1:1" x14ac:dyDescent="0.25">
      <c r="A59" t="s">
        <v>981</v>
      </c>
    </row>
    <row r="60" spans="1:1" x14ac:dyDescent="0.25">
      <c r="A60" t="s">
        <v>982</v>
      </c>
    </row>
    <row r="61" spans="1:1" x14ac:dyDescent="0.25">
      <c r="A61" t="s">
        <v>983</v>
      </c>
    </row>
    <row r="62" spans="1:1" x14ac:dyDescent="0.25">
      <c r="A62" t="s">
        <v>984</v>
      </c>
    </row>
    <row r="63" spans="1:1" x14ac:dyDescent="0.25">
      <c r="A63" t="s">
        <v>985</v>
      </c>
    </row>
    <row r="64" spans="1:1" x14ac:dyDescent="0.25">
      <c r="A64" t="s">
        <v>986</v>
      </c>
    </row>
    <row r="65" spans="1:1" x14ac:dyDescent="0.25">
      <c r="A65" t="s">
        <v>987</v>
      </c>
    </row>
    <row r="66" spans="1:1" x14ac:dyDescent="0.25">
      <c r="A66" t="s">
        <v>988</v>
      </c>
    </row>
    <row r="67" spans="1:1" x14ac:dyDescent="0.25">
      <c r="A67" t="s">
        <v>989</v>
      </c>
    </row>
    <row r="68" spans="1:1" x14ac:dyDescent="0.25">
      <c r="A68" t="s">
        <v>990</v>
      </c>
    </row>
    <row r="69" spans="1:1" x14ac:dyDescent="0.25">
      <c r="A69" t="s">
        <v>991</v>
      </c>
    </row>
    <row r="70" spans="1:1" x14ac:dyDescent="0.25">
      <c r="A70" t="s">
        <v>992</v>
      </c>
    </row>
    <row r="71" spans="1:1" x14ac:dyDescent="0.25">
      <c r="A71" t="s">
        <v>993</v>
      </c>
    </row>
    <row r="72" spans="1:1" x14ac:dyDescent="0.25">
      <c r="A72" t="s">
        <v>994</v>
      </c>
    </row>
    <row r="73" spans="1:1" x14ac:dyDescent="0.25">
      <c r="A73" t="s">
        <v>995</v>
      </c>
    </row>
    <row r="74" spans="1:1" x14ac:dyDescent="0.25">
      <c r="A74" t="s">
        <v>996</v>
      </c>
    </row>
    <row r="75" spans="1:1" x14ac:dyDescent="0.25">
      <c r="A75" t="s">
        <v>997</v>
      </c>
    </row>
    <row r="76" spans="1:1" x14ac:dyDescent="0.25">
      <c r="A76" t="s">
        <v>998</v>
      </c>
    </row>
    <row r="77" spans="1:1" x14ac:dyDescent="0.25">
      <c r="A77" t="s">
        <v>999</v>
      </c>
    </row>
    <row r="78" spans="1:1" x14ac:dyDescent="0.25">
      <c r="A78" t="s">
        <v>1000</v>
      </c>
    </row>
    <row r="79" spans="1:1" x14ac:dyDescent="0.25">
      <c r="A79" t="s">
        <v>1001</v>
      </c>
    </row>
    <row r="80" spans="1:1" x14ac:dyDescent="0.25">
      <c r="A80" t="s">
        <v>1002</v>
      </c>
    </row>
    <row r="81" spans="1:1" x14ac:dyDescent="0.25">
      <c r="A81" t="s">
        <v>1003</v>
      </c>
    </row>
    <row r="82" spans="1:1" x14ac:dyDescent="0.25">
      <c r="A82" t="s">
        <v>1004</v>
      </c>
    </row>
    <row r="83" spans="1:1" x14ac:dyDescent="0.25">
      <c r="A83" t="s">
        <v>1005</v>
      </c>
    </row>
    <row r="84" spans="1:1" x14ac:dyDescent="0.25">
      <c r="A84" t="s">
        <v>1006</v>
      </c>
    </row>
    <row r="85" spans="1:1" x14ac:dyDescent="0.25">
      <c r="A85" t="s">
        <v>1007</v>
      </c>
    </row>
    <row r="86" spans="1:1" x14ac:dyDescent="0.25">
      <c r="A86" t="s">
        <v>1008</v>
      </c>
    </row>
    <row r="87" spans="1:1" x14ac:dyDescent="0.25">
      <c r="A87" t="s">
        <v>1009</v>
      </c>
    </row>
    <row r="88" spans="1:1" x14ac:dyDescent="0.25">
      <c r="A88" t="s">
        <v>1010</v>
      </c>
    </row>
    <row r="89" spans="1:1" x14ac:dyDescent="0.25">
      <c r="A89" t="s">
        <v>1011</v>
      </c>
    </row>
    <row r="90" spans="1:1" x14ac:dyDescent="0.25">
      <c r="A90" t="s">
        <v>1012</v>
      </c>
    </row>
    <row r="91" spans="1:1" x14ac:dyDescent="0.25">
      <c r="A91" t="s">
        <v>1013</v>
      </c>
    </row>
    <row r="92" spans="1:1" x14ac:dyDescent="0.25">
      <c r="A92" t="s">
        <v>1014</v>
      </c>
    </row>
    <row r="93" spans="1:1" x14ac:dyDescent="0.25">
      <c r="A93" t="s">
        <v>1015</v>
      </c>
    </row>
    <row r="94" spans="1:1" x14ac:dyDescent="0.25">
      <c r="A94" t="s">
        <v>1016</v>
      </c>
    </row>
    <row r="95" spans="1:1" x14ac:dyDescent="0.25">
      <c r="A95" t="s">
        <v>1017</v>
      </c>
    </row>
    <row r="96" spans="1:1" x14ac:dyDescent="0.25">
      <c r="A96" t="s">
        <v>1018</v>
      </c>
    </row>
    <row r="97" spans="1:1" x14ac:dyDescent="0.25">
      <c r="A97" t="s">
        <v>1019</v>
      </c>
    </row>
    <row r="98" spans="1:1" x14ac:dyDescent="0.25">
      <c r="A98" t="s">
        <v>1020</v>
      </c>
    </row>
    <row r="99" spans="1:1" x14ac:dyDescent="0.25">
      <c r="A99" t="s">
        <v>1021</v>
      </c>
    </row>
    <row r="100" spans="1:1" x14ac:dyDescent="0.25">
      <c r="A100" t="s">
        <v>1022</v>
      </c>
    </row>
    <row r="101" spans="1:1" x14ac:dyDescent="0.25">
      <c r="A101" t="s">
        <v>1023</v>
      </c>
    </row>
    <row r="102" spans="1:1" x14ac:dyDescent="0.25">
      <c r="A102" t="s">
        <v>1024</v>
      </c>
    </row>
    <row r="103" spans="1:1" x14ac:dyDescent="0.25">
      <c r="A103" t="s">
        <v>1025</v>
      </c>
    </row>
    <row r="104" spans="1:1" x14ac:dyDescent="0.25">
      <c r="A104" t="s">
        <v>1026</v>
      </c>
    </row>
    <row r="105" spans="1:1" x14ac:dyDescent="0.25">
      <c r="A105" t="s">
        <v>1027</v>
      </c>
    </row>
    <row r="106" spans="1:1" x14ac:dyDescent="0.25">
      <c r="A106" t="s">
        <v>1028</v>
      </c>
    </row>
    <row r="107" spans="1:1" x14ac:dyDescent="0.25">
      <c r="A107" t="s">
        <v>1029</v>
      </c>
    </row>
    <row r="108" spans="1:1" x14ac:dyDescent="0.25">
      <c r="A108" t="s">
        <v>1030</v>
      </c>
    </row>
    <row r="109" spans="1:1" x14ac:dyDescent="0.25">
      <c r="A109" t="s">
        <v>1031</v>
      </c>
    </row>
    <row r="110" spans="1:1" x14ac:dyDescent="0.25">
      <c r="A110" t="s">
        <v>1032</v>
      </c>
    </row>
    <row r="111" spans="1:1" x14ac:dyDescent="0.25">
      <c r="A111" t="s">
        <v>1033</v>
      </c>
    </row>
    <row r="112" spans="1:1" x14ac:dyDescent="0.25">
      <c r="A112" t="s">
        <v>1034</v>
      </c>
    </row>
    <row r="113" spans="1:1" x14ac:dyDescent="0.25">
      <c r="A113" t="s">
        <v>1035</v>
      </c>
    </row>
    <row r="114" spans="1:1" x14ac:dyDescent="0.25">
      <c r="A114" t="s">
        <v>1036</v>
      </c>
    </row>
    <row r="115" spans="1:1" x14ac:dyDescent="0.25">
      <c r="A115" t="s">
        <v>1037</v>
      </c>
    </row>
    <row r="116" spans="1:1" x14ac:dyDescent="0.25">
      <c r="A116" t="s">
        <v>1038</v>
      </c>
    </row>
    <row r="117" spans="1:1" x14ac:dyDescent="0.25">
      <c r="A117" t="s">
        <v>1039</v>
      </c>
    </row>
    <row r="118" spans="1:1" x14ac:dyDescent="0.25">
      <c r="A118" t="s">
        <v>1040</v>
      </c>
    </row>
    <row r="119" spans="1:1" x14ac:dyDescent="0.25">
      <c r="A119" t="s">
        <v>1041</v>
      </c>
    </row>
    <row r="120" spans="1:1" x14ac:dyDescent="0.25">
      <c r="A120" t="s">
        <v>1042</v>
      </c>
    </row>
    <row r="121" spans="1:1" x14ac:dyDescent="0.25">
      <c r="A121" t="s">
        <v>1043</v>
      </c>
    </row>
    <row r="122" spans="1:1" x14ac:dyDescent="0.25">
      <c r="A122" t="s">
        <v>1044</v>
      </c>
    </row>
    <row r="123" spans="1:1" x14ac:dyDescent="0.25">
      <c r="A123" t="s">
        <v>1045</v>
      </c>
    </row>
    <row r="124" spans="1:1" x14ac:dyDescent="0.25">
      <c r="A124" t="s">
        <v>1046</v>
      </c>
    </row>
    <row r="125" spans="1:1" x14ac:dyDescent="0.25">
      <c r="A125" t="s">
        <v>1047</v>
      </c>
    </row>
    <row r="126" spans="1:1" x14ac:dyDescent="0.25">
      <c r="A126" t="s">
        <v>1048</v>
      </c>
    </row>
    <row r="127" spans="1:1" x14ac:dyDescent="0.25">
      <c r="A127" t="s">
        <v>1049</v>
      </c>
    </row>
    <row r="128" spans="1:1" x14ac:dyDescent="0.25">
      <c r="A128" t="s">
        <v>1050</v>
      </c>
    </row>
    <row r="129" spans="1:1" x14ac:dyDescent="0.25">
      <c r="A129" t="s">
        <v>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7C84-20D4-47FC-8134-482293870B5B}">
  <dimension ref="A1:O160"/>
  <sheetViews>
    <sheetView workbookViewId="0">
      <selection sqref="A1:C160"/>
    </sheetView>
  </sheetViews>
  <sheetFormatPr defaultRowHeight="15" x14ac:dyDescent="0.25"/>
  <cols>
    <col min="7" max="7" width="8.85546875" customWidth="1"/>
    <col min="8" max="8" width="9.140625" hidden="1" customWidth="1"/>
    <col min="9" max="9" width="15.28515625" customWidth="1"/>
    <col min="10" max="10" width="39.5703125" customWidth="1"/>
  </cols>
  <sheetData>
    <row r="1" spans="1:15" x14ac:dyDescent="0.25">
      <c r="A1" s="4" t="str">
        <f>K1</f>
        <v>AUS</v>
      </c>
      <c r="B1" s="4" t="s">
        <v>722</v>
      </c>
      <c r="C1" s="4" t="str">
        <f>N1</f>
        <v>AUNZ</v>
      </c>
      <c r="J1">
        <v>1</v>
      </c>
      <c r="K1" t="s">
        <v>218</v>
      </c>
      <c r="L1" t="s">
        <v>219</v>
      </c>
      <c r="M1" t="s">
        <v>219</v>
      </c>
      <c r="N1" t="s">
        <v>220</v>
      </c>
      <c r="O1" t="s">
        <v>199</v>
      </c>
    </row>
    <row r="2" spans="1:15" x14ac:dyDescent="0.25">
      <c r="A2" s="4" t="str">
        <f t="shared" ref="A2:A65" si="0">K2</f>
        <v>NZL</v>
      </c>
      <c r="B2" s="4" t="s">
        <v>722</v>
      </c>
      <c r="C2" s="4" t="str">
        <f t="shared" ref="C2:C65" si="1">N2</f>
        <v>AUNZ</v>
      </c>
      <c r="J2">
        <v>2</v>
      </c>
      <c r="K2" t="s">
        <v>229</v>
      </c>
      <c r="L2" t="s">
        <v>230</v>
      </c>
      <c r="M2" t="s">
        <v>230</v>
      </c>
      <c r="N2" t="s">
        <v>220</v>
      </c>
      <c r="O2" t="s">
        <v>199</v>
      </c>
    </row>
    <row r="3" spans="1:15" x14ac:dyDescent="0.25">
      <c r="A3" s="4" t="str">
        <f t="shared" si="0"/>
        <v>XOC</v>
      </c>
      <c r="B3" s="4" t="s">
        <v>722</v>
      </c>
      <c r="C3" s="4" t="str">
        <f t="shared" si="1"/>
        <v>AUNZ</v>
      </c>
      <c r="J3">
        <v>3</v>
      </c>
      <c r="K3" t="s">
        <v>232</v>
      </c>
      <c r="L3" t="s">
        <v>233</v>
      </c>
      <c r="M3" t="s">
        <v>234</v>
      </c>
      <c r="N3" t="s">
        <v>220</v>
      </c>
      <c r="O3" t="s">
        <v>199</v>
      </c>
    </row>
    <row r="4" spans="1:15" x14ac:dyDescent="0.25">
      <c r="A4" s="4" t="str">
        <f t="shared" si="0"/>
        <v>CHN</v>
      </c>
      <c r="B4" s="4" t="s">
        <v>722</v>
      </c>
      <c r="C4" s="4" t="str">
        <f t="shared" si="1"/>
        <v>China</v>
      </c>
      <c r="J4">
        <v>4</v>
      </c>
      <c r="K4" t="s">
        <v>279</v>
      </c>
      <c r="L4" t="s">
        <v>204</v>
      </c>
      <c r="M4" t="s">
        <v>204</v>
      </c>
      <c r="N4" t="str">
        <f t="shared" ref="N4:N5" si="2">O4</f>
        <v>China</v>
      </c>
      <c r="O4" t="s">
        <v>204</v>
      </c>
    </row>
    <row r="5" spans="1:15" x14ac:dyDescent="0.25">
      <c r="A5" s="4" t="str">
        <f t="shared" si="0"/>
        <v>HKG</v>
      </c>
      <c r="B5" s="4" t="s">
        <v>722</v>
      </c>
      <c r="C5" s="4" t="str">
        <f t="shared" si="1"/>
        <v>China</v>
      </c>
      <c r="J5">
        <v>5</v>
      </c>
      <c r="K5" t="s">
        <v>280</v>
      </c>
      <c r="L5" t="s">
        <v>281</v>
      </c>
      <c r="M5" t="s">
        <v>281</v>
      </c>
      <c r="N5" t="str">
        <f t="shared" si="2"/>
        <v>China</v>
      </c>
      <c r="O5" t="s">
        <v>204</v>
      </c>
    </row>
    <row r="6" spans="1:15" x14ac:dyDescent="0.25">
      <c r="A6" s="4" t="str">
        <f t="shared" si="0"/>
        <v>JPN</v>
      </c>
      <c r="B6" s="4" t="s">
        <v>722</v>
      </c>
      <c r="C6" s="4" t="str">
        <f t="shared" si="1"/>
        <v>JPNKOR</v>
      </c>
      <c r="J6">
        <v>6</v>
      </c>
      <c r="K6" t="s">
        <v>282</v>
      </c>
      <c r="L6" t="s">
        <v>192</v>
      </c>
      <c r="M6" t="s">
        <v>192</v>
      </c>
      <c r="N6" t="s">
        <v>283</v>
      </c>
      <c r="O6" t="s">
        <v>284</v>
      </c>
    </row>
    <row r="7" spans="1:15" x14ac:dyDescent="0.25">
      <c r="A7" s="4" t="str">
        <f t="shared" si="0"/>
        <v>KOR</v>
      </c>
      <c r="B7" s="4" t="s">
        <v>722</v>
      </c>
      <c r="C7" s="4" t="str">
        <f t="shared" si="1"/>
        <v>JPNKOR</v>
      </c>
      <c r="J7">
        <v>7</v>
      </c>
      <c r="K7" t="s">
        <v>285</v>
      </c>
      <c r="L7" t="s">
        <v>286</v>
      </c>
      <c r="M7" t="s">
        <v>286</v>
      </c>
      <c r="N7" t="s">
        <v>283</v>
      </c>
      <c r="O7" t="s">
        <v>284</v>
      </c>
    </row>
    <row r="8" spans="1:15" x14ac:dyDescent="0.25">
      <c r="A8" s="4" t="str">
        <f t="shared" si="0"/>
        <v>MNG</v>
      </c>
      <c r="B8" s="4" t="s">
        <v>722</v>
      </c>
      <c r="C8" s="4" t="str">
        <f t="shared" si="1"/>
        <v>REastAsia</v>
      </c>
      <c r="J8">
        <v>8</v>
      </c>
      <c r="K8" t="s">
        <v>287</v>
      </c>
      <c r="L8" t="s">
        <v>288</v>
      </c>
      <c r="M8" t="s">
        <v>288</v>
      </c>
      <c r="N8" t="s">
        <v>289</v>
      </c>
      <c r="O8" t="s">
        <v>290</v>
      </c>
    </row>
    <row r="9" spans="1:15" x14ac:dyDescent="0.25">
      <c r="A9" s="4" t="str">
        <f t="shared" si="0"/>
        <v>TWN</v>
      </c>
      <c r="B9" s="4" t="s">
        <v>722</v>
      </c>
      <c r="C9" s="4" t="str">
        <f t="shared" si="1"/>
        <v>China</v>
      </c>
      <c r="J9">
        <v>9</v>
      </c>
      <c r="K9" t="s">
        <v>291</v>
      </c>
      <c r="L9" t="s">
        <v>292</v>
      </c>
      <c r="M9" t="s">
        <v>292</v>
      </c>
      <c r="N9" t="str">
        <f>O9</f>
        <v>China</v>
      </c>
      <c r="O9" t="s">
        <v>204</v>
      </c>
    </row>
    <row r="10" spans="1:15" x14ac:dyDescent="0.25">
      <c r="A10" s="4" t="str">
        <f t="shared" si="0"/>
        <v>XEA</v>
      </c>
      <c r="B10" s="4" t="s">
        <v>722</v>
      </c>
      <c r="C10" s="4" t="str">
        <f t="shared" si="1"/>
        <v>JPNKOR</v>
      </c>
      <c r="J10">
        <v>10</v>
      </c>
      <c r="K10" t="s">
        <v>294</v>
      </c>
      <c r="L10" t="s">
        <v>290</v>
      </c>
      <c r="M10" t="s">
        <v>295</v>
      </c>
      <c r="N10" t="s">
        <v>283</v>
      </c>
      <c r="O10" t="s">
        <v>284</v>
      </c>
    </row>
    <row r="11" spans="1:15" x14ac:dyDescent="0.25">
      <c r="A11" s="4" t="str">
        <f t="shared" si="0"/>
        <v>BRN</v>
      </c>
      <c r="B11" s="4" t="s">
        <v>722</v>
      </c>
      <c r="C11" s="4" t="str">
        <f t="shared" si="1"/>
        <v>REastAsia</v>
      </c>
      <c r="J11">
        <v>11</v>
      </c>
      <c r="K11" t="s">
        <v>298</v>
      </c>
      <c r="L11" t="s">
        <v>299</v>
      </c>
      <c r="M11" t="s">
        <v>299</v>
      </c>
      <c r="N11" t="s">
        <v>289</v>
      </c>
      <c r="O11" t="s">
        <v>290</v>
      </c>
    </row>
    <row r="12" spans="1:15" x14ac:dyDescent="0.25">
      <c r="A12" s="4" t="str">
        <f t="shared" si="0"/>
        <v>KHM</v>
      </c>
      <c r="B12" s="4" t="s">
        <v>722</v>
      </c>
      <c r="C12" s="4" t="str">
        <f t="shared" si="1"/>
        <v>REastAsia</v>
      </c>
      <c r="J12">
        <v>12</v>
      </c>
      <c r="K12" t="s">
        <v>300</v>
      </c>
      <c r="L12" t="s">
        <v>301</v>
      </c>
      <c r="M12" t="s">
        <v>301</v>
      </c>
      <c r="N12" t="s">
        <v>289</v>
      </c>
      <c r="O12" t="s">
        <v>290</v>
      </c>
    </row>
    <row r="13" spans="1:15" x14ac:dyDescent="0.25">
      <c r="A13" s="4" t="str">
        <f t="shared" si="0"/>
        <v>IDN</v>
      </c>
      <c r="B13" s="4" t="s">
        <v>722</v>
      </c>
      <c r="C13" s="4" t="str">
        <f t="shared" si="1"/>
        <v>Indonesia</v>
      </c>
      <c r="J13">
        <v>13</v>
      </c>
      <c r="K13" t="s">
        <v>302</v>
      </c>
      <c r="L13" t="s">
        <v>200</v>
      </c>
      <c r="M13" t="s">
        <v>200</v>
      </c>
      <c r="N13" s="1" t="s">
        <v>200</v>
      </c>
      <c r="O13" s="1" t="s">
        <v>200</v>
      </c>
    </row>
    <row r="14" spans="1:15" x14ac:dyDescent="0.25">
      <c r="A14" s="4" t="str">
        <f t="shared" si="0"/>
        <v>LAO</v>
      </c>
      <c r="B14" s="4" t="s">
        <v>722</v>
      </c>
      <c r="C14" s="4" t="str">
        <f t="shared" si="1"/>
        <v>REastAsia</v>
      </c>
      <c r="J14">
        <v>14</v>
      </c>
      <c r="K14" t="s">
        <v>303</v>
      </c>
      <c r="L14" t="s">
        <v>304</v>
      </c>
      <c r="M14" t="s">
        <v>304</v>
      </c>
      <c r="N14" t="s">
        <v>289</v>
      </c>
      <c r="O14" t="s">
        <v>290</v>
      </c>
    </row>
    <row r="15" spans="1:15" x14ac:dyDescent="0.25">
      <c r="A15" s="4" t="str">
        <f t="shared" si="0"/>
        <v>MYS</v>
      </c>
      <c r="B15" s="4" t="s">
        <v>722</v>
      </c>
      <c r="C15" s="4" t="str">
        <f t="shared" si="1"/>
        <v>REastAsia</v>
      </c>
      <c r="J15">
        <v>15</v>
      </c>
      <c r="K15" t="s">
        <v>305</v>
      </c>
      <c r="L15" t="s">
        <v>306</v>
      </c>
      <c r="M15" t="s">
        <v>306</v>
      </c>
      <c r="N15" t="s">
        <v>289</v>
      </c>
      <c r="O15" t="s">
        <v>290</v>
      </c>
    </row>
    <row r="16" spans="1:15" x14ac:dyDescent="0.25">
      <c r="A16" s="4" t="str">
        <f t="shared" si="0"/>
        <v>PHL</v>
      </c>
      <c r="B16" s="4" t="s">
        <v>722</v>
      </c>
      <c r="C16" s="4" t="str">
        <f t="shared" si="1"/>
        <v>REastAsia</v>
      </c>
      <c r="J16">
        <v>16</v>
      </c>
      <c r="K16" t="s">
        <v>307</v>
      </c>
      <c r="L16" t="s">
        <v>308</v>
      </c>
      <c r="M16" t="s">
        <v>308</v>
      </c>
      <c r="N16" t="s">
        <v>289</v>
      </c>
      <c r="O16" t="s">
        <v>290</v>
      </c>
    </row>
    <row r="17" spans="1:15" x14ac:dyDescent="0.25">
      <c r="A17" s="4" t="str">
        <f t="shared" si="0"/>
        <v>SGP</v>
      </c>
      <c r="B17" s="4" t="s">
        <v>722</v>
      </c>
      <c r="C17" s="4" t="str">
        <f t="shared" si="1"/>
        <v>REastAsia</v>
      </c>
      <c r="J17">
        <v>17</v>
      </c>
      <c r="K17" t="s">
        <v>309</v>
      </c>
      <c r="L17" t="s">
        <v>310</v>
      </c>
      <c r="M17" t="s">
        <v>310</v>
      </c>
      <c r="N17" t="s">
        <v>289</v>
      </c>
      <c r="O17" t="s">
        <v>290</v>
      </c>
    </row>
    <row r="18" spans="1:15" x14ac:dyDescent="0.25">
      <c r="A18" s="4" t="str">
        <f t="shared" si="0"/>
        <v>THA</v>
      </c>
      <c r="B18" s="4" t="s">
        <v>722</v>
      </c>
      <c r="C18" s="4" t="str">
        <f t="shared" si="1"/>
        <v>REastAsia</v>
      </c>
      <c r="J18">
        <v>18</v>
      </c>
      <c r="K18" t="s">
        <v>311</v>
      </c>
      <c r="L18" t="s">
        <v>312</v>
      </c>
      <c r="M18" t="s">
        <v>312</v>
      </c>
      <c r="N18" t="s">
        <v>289</v>
      </c>
      <c r="O18" t="s">
        <v>290</v>
      </c>
    </row>
    <row r="19" spans="1:15" x14ac:dyDescent="0.25">
      <c r="A19" s="4" t="str">
        <f t="shared" si="0"/>
        <v>VNM</v>
      </c>
      <c r="B19" s="4" t="s">
        <v>722</v>
      </c>
      <c r="C19" s="4" t="str">
        <f t="shared" si="1"/>
        <v>REastAsia</v>
      </c>
      <c r="J19">
        <v>19</v>
      </c>
      <c r="K19" t="s">
        <v>313</v>
      </c>
      <c r="L19" t="s">
        <v>314</v>
      </c>
      <c r="M19" t="s">
        <v>314</v>
      </c>
      <c r="N19" t="s">
        <v>289</v>
      </c>
      <c r="O19" t="s">
        <v>290</v>
      </c>
    </row>
    <row r="20" spans="1:15" x14ac:dyDescent="0.25">
      <c r="A20" s="4" t="str">
        <f t="shared" si="0"/>
        <v>XSE</v>
      </c>
      <c r="B20" s="4" t="s">
        <v>722</v>
      </c>
      <c r="C20" s="4" t="str">
        <f t="shared" si="1"/>
        <v>REastAsia</v>
      </c>
      <c r="J20">
        <v>20</v>
      </c>
      <c r="K20" t="s">
        <v>316</v>
      </c>
      <c r="L20" t="s">
        <v>317</v>
      </c>
      <c r="M20" t="s">
        <v>318</v>
      </c>
      <c r="N20" t="s">
        <v>289</v>
      </c>
      <c r="O20" t="s">
        <v>290</v>
      </c>
    </row>
    <row r="21" spans="1:15" x14ac:dyDescent="0.25">
      <c r="A21" s="4" t="str">
        <f t="shared" si="0"/>
        <v>AFG</v>
      </c>
      <c r="B21" s="4" t="s">
        <v>722</v>
      </c>
      <c r="C21" s="4" t="str">
        <f t="shared" si="1"/>
        <v>RSouthAsia</v>
      </c>
      <c r="J21">
        <v>21</v>
      </c>
      <c r="K21" t="s">
        <v>321</v>
      </c>
      <c r="L21" t="s">
        <v>322</v>
      </c>
      <c r="M21" t="s">
        <v>322</v>
      </c>
      <c r="N21" t="s">
        <v>323</v>
      </c>
      <c r="O21" t="s">
        <v>324</v>
      </c>
    </row>
    <row r="22" spans="1:15" x14ac:dyDescent="0.25">
      <c r="A22" s="4" t="str">
        <f t="shared" si="0"/>
        <v>BGD</v>
      </c>
      <c r="B22" s="4" t="s">
        <v>722</v>
      </c>
      <c r="C22" s="4" t="str">
        <f t="shared" si="1"/>
        <v>RSouthAsia</v>
      </c>
      <c r="J22">
        <v>22</v>
      </c>
      <c r="K22" t="s">
        <v>325</v>
      </c>
      <c r="L22" t="s">
        <v>326</v>
      </c>
      <c r="M22" t="s">
        <v>326</v>
      </c>
      <c r="N22" t="s">
        <v>323</v>
      </c>
      <c r="O22" t="s">
        <v>324</v>
      </c>
    </row>
    <row r="23" spans="1:15" x14ac:dyDescent="0.25">
      <c r="A23" s="4" t="str">
        <f t="shared" si="0"/>
        <v>IND</v>
      </c>
      <c r="B23" s="4" t="s">
        <v>722</v>
      </c>
      <c r="C23" s="4" t="str">
        <f t="shared" si="1"/>
        <v>India</v>
      </c>
      <c r="J23">
        <v>23</v>
      </c>
      <c r="K23" t="s">
        <v>327</v>
      </c>
      <c r="L23" t="s">
        <v>193</v>
      </c>
      <c r="M23" t="s">
        <v>193</v>
      </c>
      <c r="N23" t="s">
        <v>193</v>
      </c>
      <c r="O23" t="s">
        <v>193</v>
      </c>
    </row>
    <row r="24" spans="1:15" x14ac:dyDescent="0.25">
      <c r="A24" s="4" t="str">
        <f t="shared" si="0"/>
        <v>NPL</v>
      </c>
      <c r="B24" s="4" t="s">
        <v>722</v>
      </c>
      <c r="C24" s="4" t="str">
        <f t="shared" si="1"/>
        <v>RSouthAsia</v>
      </c>
      <c r="J24">
        <v>24</v>
      </c>
      <c r="K24" t="s">
        <v>328</v>
      </c>
      <c r="L24" t="s">
        <v>329</v>
      </c>
      <c r="M24" t="s">
        <v>329</v>
      </c>
      <c r="N24" t="s">
        <v>323</v>
      </c>
      <c r="O24" t="s">
        <v>324</v>
      </c>
    </row>
    <row r="25" spans="1:15" x14ac:dyDescent="0.25">
      <c r="A25" s="4" t="str">
        <f t="shared" si="0"/>
        <v>PAK</v>
      </c>
      <c r="B25" s="4" t="s">
        <v>722</v>
      </c>
      <c r="C25" s="4" t="str">
        <f t="shared" si="1"/>
        <v>RSouthAsia</v>
      </c>
      <c r="J25">
        <v>25</v>
      </c>
      <c r="K25" t="s">
        <v>330</v>
      </c>
      <c r="L25" t="s">
        <v>331</v>
      </c>
      <c r="M25" t="s">
        <v>331</v>
      </c>
      <c r="N25" t="s">
        <v>323</v>
      </c>
      <c r="O25" t="s">
        <v>324</v>
      </c>
    </row>
    <row r="26" spans="1:15" x14ac:dyDescent="0.25">
      <c r="A26" s="4" t="str">
        <f t="shared" si="0"/>
        <v>LKA</v>
      </c>
      <c r="B26" s="4" t="s">
        <v>722</v>
      </c>
      <c r="C26" s="4" t="str">
        <f t="shared" si="1"/>
        <v>RSouthAsia</v>
      </c>
      <c r="J26">
        <v>26</v>
      </c>
      <c r="K26" t="s">
        <v>332</v>
      </c>
      <c r="L26" t="s">
        <v>333</v>
      </c>
      <c r="M26" t="s">
        <v>333</v>
      </c>
      <c r="N26" t="s">
        <v>323</v>
      </c>
      <c r="O26" t="s">
        <v>324</v>
      </c>
    </row>
    <row r="27" spans="1:15" x14ac:dyDescent="0.25">
      <c r="A27" s="4" t="str">
        <f t="shared" si="0"/>
        <v>XSA</v>
      </c>
      <c r="B27" s="4" t="s">
        <v>722</v>
      </c>
      <c r="C27" s="4" t="str">
        <f t="shared" si="1"/>
        <v>RSouthAsia</v>
      </c>
      <c r="J27">
        <v>27</v>
      </c>
      <c r="K27" t="s">
        <v>335</v>
      </c>
      <c r="L27" t="s">
        <v>324</v>
      </c>
      <c r="M27" t="s">
        <v>336</v>
      </c>
      <c r="N27" t="s">
        <v>323</v>
      </c>
      <c r="O27" t="s">
        <v>324</v>
      </c>
    </row>
    <row r="28" spans="1:15" x14ac:dyDescent="0.25">
      <c r="A28" s="4" t="str">
        <f t="shared" si="0"/>
        <v>CAN</v>
      </c>
      <c r="B28" s="4" t="s">
        <v>722</v>
      </c>
      <c r="C28" s="4" t="str">
        <f t="shared" si="1"/>
        <v>Canada</v>
      </c>
      <c r="J28">
        <v>28</v>
      </c>
      <c r="K28" t="s">
        <v>339</v>
      </c>
      <c r="L28" t="s">
        <v>205</v>
      </c>
      <c r="M28" t="s">
        <v>205</v>
      </c>
      <c r="N28" t="s">
        <v>205</v>
      </c>
      <c r="O28" t="s">
        <v>205</v>
      </c>
    </row>
    <row r="29" spans="1:15" x14ac:dyDescent="0.25">
      <c r="A29" s="4" t="str">
        <f t="shared" si="0"/>
        <v>USA</v>
      </c>
      <c r="B29" s="4" t="s">
        <v>722</v>
      </c>
      <c r="C29" s="4" t="str">
        <f t="shared" si="1"/>
        <v>USA</v>
      </c>
      <c r="J29">
        <v>29</v>
      </c>
      <c r="K29" t="s">
        <v>340</v>
      </c>
      <c r="L29" t="s">
        <v>194</v>
      </c>
      <c r="M29" t="s">
        <v>194</v>
      </c>
      <c r="N29" t="s">
        <v>340</v>
      </c>
      <c r="O29" t="s">
        <v>201</v>
      </c>
    </row>
    <row r="30" spans="1:15" x14ac:dyDescent="0.25">
      <c r="A30" s="4" t="str">
        <f t="shared" si="0"/>
        <v>MEX</v>
      </c>
      <c r="B30" s="4" t="s">
        <v>722</v>
      </c>
      <c r="C30" s="4" t="str">
        <f t="shared" si="1"/>
        <v>Mexico</v>
      </c>
      <c r="J30">
        <v>30</v>
      </c>
      <c r="K30" t="s">
        <v>341</v>
      </c>
      <c r="L30" t="s">
        <v>202</v>
      </c>
      <c r="M30" t="s">
        <v>202</v>
      </c>
      <c r="N30" s="1" t="s">
        <v>202</v>
      </c>
      <c r="O30" s="1" t="s">
        <v>202</v>
      </c>
    </row>
    <row r="31" spans="1:15" x14ac:dyDescent="0.25">
      <c r="A31" s="4" t="str">
        <f t="shared" si="0"/>
        <v>XNA</v>
      </c>
      <c r="B31" s="4" t="s">
        <v>722</v>
      </c>
      <c r="C31" s="4" t="str">
        <f t="shared" si="1"/>
        <v>Canada</v>
      </c>
      <c r="J31">
        <v>31</v>
      </c>
      <c r="K31" t="s">
        <v>345</v>
      </c>
      <c r="L31" t="s">
        <v>346</v>
      </c>
      <c r="M31" t="s">
        <v>347</v>
      </c>
      <c r="N31" t="s">
        <v>205</v>
      </c>
      <c r="O31" t="s">
        <v>205</v>
      </c>
    </row>
    <row r="32" spans="1:15" x14ac:dyDescent="0.25">
      <c r="A32" s="4" t="str">
        <f t="shared" si="0"/>
        <v>ARG</v>
      </c>
      <c r="B32" s="4" t="s">
        <v>722</v>
      </c>
      <c r="C32" s="4" t="str">
        <f t="shared" si="1"/>
        <v>LACA</v>
      </c>
      <c r="J32">
        <v>32</v>
      </c>
      <c r="K32" t="s">
        <v>352</v>
      </c>
      <c r="L32" t="s">
        <v>353</v>
      </c>
      <c r="M32" t="s">
        <v>353</v>
      </c>
      <c r="N32" t="s">
        <v>342</v>
      </c>
      <c r="O32" t="s">
        <v>343</v>
      </c>
    </row>
    <row r="33" spans="1:15" x14ac:dyDescent="0.25">
      <c r="A33" s="4" t="str">
        <f t="shared" si="0"/>
        <v>BOL</v>
      </c>
      <c r="B33" s="4" t="s">
        <v>722</v>
      </c>
      <c r="C33" s="4" t="str">
        <f t="shared" si="1"/>
        <v>LACA</v>
      </c>
      <c r="J33">
        <v>33</v>
      </c>
      <c r="K33" t="s">
        <v>354</v>
      </c>
      <c r="L33" t="s">
        <v>355</v>
      </c>
      <c r="M33" t="s">
        <v>355</v>
      </c>
      <c r="N33" t="s">
        <v>342</v>
      </c>
      <c r="O33" t="s">
        <v>343</v>
      </c>
    </row>
    <row r="34" spans="1:15" x14ac:dyDescent="0.25">
      <c r="A34" s="4" t="str">
        <f t="shared" si="0"/>
        <v>BRA</v>
      </c>
      <c r="B34" s="4" t="s">
        <v>722</v>
      </c>
      <c r="C34" s="4" t="str">
        <f t="shared" si="1"/>
        <v>Brazil</v>
      </c>
      <c r="J34">
        <v>34</v>
      </c>
      <c r="K34" t="s">
        <v>356</v>
      </c>
      <c r="L34" t="s">
        <v>203</v>
      </c>
      <c r="M34" t="s">
        <v>203</v>
      </c>
      <c r="N34" t="s">
        <v>203</v>
      </c>
      <c r="O34" t="s">
        <v>203</v>
      </c>
    </row>
    <row r="35" spans="1:15" x14ac:dyDescent="0.25">
      <c r="A35" s="4" t="str">
        <f t="shared" si="0"/>
        <v>CHL</v>
      </c>
      <c r="B35" s="4" t="s">
        <v>722</v>
      </c>
      <c r="C35" s="4" t="str">
        <f t="shared" si="1"/>
        <v>LACA</v>
      </c>
      <c r="J35">
        <v>35</v>
      </c>
      <c r="K35" t="s">
        <v>357</v>
      </c>
      <c r="L35" t="s">
        <v>358</v>
      </c>
      <c r="M35" t="s">
        <v>358</v>
      </c>
      <c r="N35" t="s">
        <v>342</v>
      </c>
      <c r="O35" t="s">
        <v>343</v>
      </c>
    </row>
    <row r="36" spans="1:15" x14ac:dyDescent="0.25">
      <c r="A36" s="4" t="str">
        <f t="shared" si="0"/>
        <v>COL</v>
      </c>
      <c r="B36" s="4" t="s">
        <v>722</v>
      </c>
      <c r="C36" s="4" t="str">
        <f t="shared" si="1"/>
        <v>LACA</v>
      </c>
      <c r="J36">
        <v>36</v>
      </c>
      <c r="K36" t="s">
        <v>359</v>
      </c>
      <c r="L36" t="s">
        <v>360</v>
      </c>
      <c r="M36" t="s">
        <v>360</v>
      </c>
      <c r="N36" t="s">
        <v>342</v>
      </c>
      <c r="O36" t="s">
        <v>343</v>
      </c>
    </row>
    <row r="37" spans="1:15" x14ac:dyDescent="0.25">
      <c r="A37" s="4" t="str">
        <f t="shared" si="0"/>
        <v>ECU</v>
      </c>
      <c r="B37" s="4" t="s">
        <v>722</v>
      </c>
      <c r="C37" s="4" t="str">
        <f t="shared" si="1"/>
        <v>LACA</v>
      </c>
      <c r="J37">
        <v>37</v>
      </c>
      <c r="K37" t="s">
        <v>361</v>
      </c>
      <c r="L37" t="s">
        <v>362</v>
      </c>
      <c r="M37" t="s">
        <v>362</v>
      </c>
      <c r="N37" t="s">
        <v>342</v>
      </c>
      <c r="O37" t="s">
        <v>343</v>
      </c>
    </row>
    <row r="38" spans="1:15" x14ac:dyDescent="0.25">
      <c r="A38" s="4" t="str">
        <f t="shared" si="0"/>
        <v>PRY</v>
      </c>
      <c r="B38" s="4" t="s">
        <v>722</v>
      </c>
      <c r="C38" s="4" t="str">
        <f t="shared" si="1"/>
        <v>LACA</v>
      </c>
      <c r="J38">
        <v>38</v>
      </c>
      <c r="K38" t="s">
        <v>363</v>
      </c>
      <c r="L38" t="s">
        <v>364</v>
      </c>
      <c r="M38" t="s">
        <v>364</v>
      </c>
      <c r="N38" t="s">
        <v>342</v>
      </c>
      <c r="O38" t="s">
        <v>343</v>
      </c>
    </row>
    <row r="39" spans="1:15" x14ac:dyDescent="0.25">
      <c r="A39" s="4" t="str">
        <f t="shared" si="0"/>
        <v>PER</v>
      </c>
      <c r="B39" s="4" t="s">
        <v>722</v>
      </c>
      <c r="C39" s="4" t="str">
        <f t="shared" si="1"/>
        <v>LACA</v>
      </c>
      <c r="J39">
        <v>39</v>
      </c>
      <c r="K39" t="s">
        <v>365</v>
      </c>
      <c r="L39" t="s">
        <v>366</v>
      </c>
      <c r="M39" t="s">
        <v>366</v>
      </c>
      <c r="N39" t="s">
        <v>342</v>
      </c>
      <c r="O39" t="s">
        <v>343</v>
      </c>
    </row>
    <row r="40" spans="1:15" x14ac:dyDescent="0.25">
      <c r="A40" s="4" t="str">
        <f t="shared" si="0"/>
        <v>URY</v>
      </c>
      <c r="B40" s="4" t="s">
        <v>722</v>
      </c>
      <c r="C40" s="4" t="str">
        <f t="shared" si="1"/>
        <v>LACA</v>
      </c>
      <c r="J40">
        <v>40</v>
      </c>
      <c r="K40" t="s">
        <v>367</v>
      </c>
      <c r="L40" t="s">
        <v>368</v>
      </c>
      <c r="M40" t="s">
        <v>368</v>
      </c>
      <c r="N40" t="s">
        <v>342</v>
      </c>
      <c r="O40" t="s">
        <v>343</v>
      </c>
    </row>
    <row r="41" spans="1:15" x14ac:dyDescent="0.25">
      <c r="A41" s="4" t="str">
        <f t="shared" si="0"/>
        <v>VEN</v>
      </c>
      <c r="B41" s="4" t="s">
        <v>722</v>
      </c>
      <c r="C41" s="4" t="str">
        <f t="shared" si="1"/>
        <v>LACA</v>
      </c>
      <c r="J41">
        <v>41</v>
      </c>
      <c r="K41" t="s">
        <v>369</v>
      </c>
      <c r="L41" t="s">
        <v>370</v>
      </c>
      <c r="M41" t="s">
        <v>370</v>
      </c>
      <c r="N41" t="s">
        <v>342</v>
      </c>
      <c r="O41" t="s">
        <v>343</v>
      </c>
    </row>
    <row r="42" spans="1:15" x14ac:dyDescent="0.25">
      <c r="A42" s="4" t="str">
        <f t="shared" si="0"/>
        <v>XSM</v>
      </c>
      <c r="B42" s="4" t="s">
        <v>722</v>
      </c>
      <c r="C42" s="4" t="str">
        <f t="shared" si="1"/>
        <v>LACA</v>
      </c>
      <c r="J42">
        <v>42</v>
      </c>
      <c r="K42" t="s">
        <v>372</v>
      </c>
      <c r="L42" t="s">
        <v>373</v>
      </c>
      <c r="M42" t="s">
        <v>374</v>
      </c>
      <c r="N42" t="s">
        <v>342</v>
      </c>
      <c r="O42" t="s">
        <v>343</v>
      </c>
    </row>
    <row r="43" spans="1:15" x14ac:dyDescent="0.25">
      <c r="A43" s="4" t="str">
        <f t="shared" si="0"/>
        <v>CRI</v>
      </c>
      <c r="B43" s="4" t="s">
        <v>722</v>
      </c>
      <c r="C43" s="4" t="str">
        <f t="shared" si="1"/>
        <v>LACA</v>
      </c>
      <c r="J43">
        <v>43</v>
      </c>
      <c r="K43" t="s">
        <v>383</v>
      </c>
      <c r="L43" t="s">
        <v>384</v>
      </c>
      <c r="M43" t="s">
        <v>384</v>
      </c>
      <c r="N43" t="s">
        <v>342</v>
      </c>
      <c r="O43" t="s">
        <v>343</v>
      </c>
    </row>
    <row r="44" spans="1:15" x14ac:dyDescent="0.25">
      <c r="A44" s="4" t="str">
        <f t="shared" si="0"/>
        <v>GTM</v>
      </c>
      <c r="B44" s="4" t="s">
        <v>722</v>
      </c>
      <c r="C44" s="4" t="str">
        <f t="shared" si="1"/>
        <v>LACA</v>
      </c>
      <c r="J44">
        <v>44</v>
      </c>
      <c r="K44" t="s">
        <v>385</v>
      </c>
      <c r="L44" t="s">
        <v>386</v>
      </c>
      <c r="M44" t="s">
        <v>386</v>
      </c>
      <c r="N44" t="s">
        <v>342</v>
      </c>
      <c r="O44" t="s">
        <v>343</v>
      </c>
    </row>
    <row r="45" spans="1:15" x14ac:dyDescent="0.25">
      <c r="A45" s="4" t="str">
        <f t="shared" si="0"/>
        <v>HND</v>
      </c>
      <c r="B45" s="4" t="s">
        <v>722</v>
      </c>
      <c r="C45" s="4" t="str">
        <f t="shared" si="1"/>
        <v>LACA</v>
      </c>
      <c r="J45">
        <v>45</v>
      </c>
      <c r="K45" t="s">
        <v>387</v>
      </c>
      <c r="L45" t="s">
        <v>388</v>
      </c>
      <c r="M45" t="s">
        <v>388</v>
      </c>
      <c r="N45" t="s">
        <v>342</v>
      </c>
      <c r="O45" t="s">
        <v>343</v>
      </c>
    </row>
    <row r="46" spans="1:15" x14ac:dyDescent="0.25">
      <c r="A46" s="4" t="str">
        <f t="shared" si="0"/>
        <v>NIC</v>
      </c>
      <c r="B46" s="4" t="s">
        <v>722</v>
      </c>
      <c r="C46" s="4" t="str">
        <f t="shared" si="1"/>
        <v>LACA</v>
      </c>
      <c r="J46">
        <v>46</v>
      </c>
      <c r="K46" t="s">
        <v>389</v>
      </c>
      <c r="L46" t="s">
        <v>390</v>
      </c>
      <c r="M46" t="s">
        <v>390</v>
      </c>
      <c r="N46" t="s">
        <v>342</v>
      </c>
      <c r="O46" t="s">
        <v>343</v>
      </c>
    </row>
    <row r="47" spans="1:15" x14ac:dyDescent="0.25">
      <c r="A47" s="4" t="str">
        <f t="shared" si="0"/>
        <v>PAN</v>
      </c>
      <c r="B47" s="4" t="s">
        <v>722</v>
      </c>
      <c r="C47" s="4" t="str">
        <f t="shared" si="1"/>
        <v>LACA</v>
      </c>
      <c r="J47">
        <v>47</v>
      </c>
      <c r="K47" t="s">
        <v>391</v>
      </c>
      <c r="L47" t="s">
        <v>392</v>
      </c>
      <c r="M47" t="s">
        <v>392</v>
      </c>
      <c r="N47" t="s">
        <v>342</v>
      </c>
      <c r="O47" t="s">
        <v>343</v>
      </c>
    </row>
    <row r="48" spans="1:15" x14ac:dyDescent="0.25">
      <c r="A48" s="4" t="str">
        <f t="shared" si="0"/>
        <v>SLV</v>
      </c>
      <c r="B48" s="4" t="s">
        <v>722</v>
      </c>
      <c r="C48" s="4" t="str">
        <f t="shared" si="1"/>
        <v>LACA</v>
      </c>
      <c r="J48">
        <v>48</v>
      </c>
      <c r="K48" t="s">
        <v>393</v>
      </c>
      <c r="L48" t="s">
        <v>394</v>
      </c>
      <c r="M48" t="s">
        <v>394</v>
      </c>
      <c r="N48" t="s">
        <v>342</v>
      </c>
      <c r="O48" t="s">
        <v>343</v>
      </c>
    </row>
    <row r="49" spans="1:15" x14ac:dyDescent="0.25">
      <c r="A49" s="4" t="str">
        <f t="shared" si="0"/>
        <v>XCA</v>
      </c>
      <c r="B49" s="4" t="s">
        <v>722</v>
      </c>
      <c r="C49" s="4" t="str">
        <f t="shared" si="1"/>
        <v>LACA</v>
      </c>
      <c r="J49">
        <v>49</v>
      </c>
      <c r="K49" t="s">
        <v>396</v>
      </c>
      <c r="L49" t="s">
        <v>397</v>
      </c>
      <c r="M49" t="s">
        <v>398</v>
      </c>
      <c r="N49" t="s">
        <v>342</v>
      </c>
      <c r="O49" t="s">
        <v>343</v>
      </c>
    </row>
    <row r="50" spans="1:15" x14ac:dyDescent="0.25">
      <c r="A50" s="4" t="str">
        <f t="shared" si="0"/>
        <v>DOM</v>
      </c>
      <c r="B50" s="4" t="s">
        <v>722</v>
      </c>
      <c r="C50" s="4" t="str">
        <f t="shared" si="1"/>
        <v>LACA</v>
      </c>
      <c r="J50">
        <v>50</v>
      </c>
      <c r="K50" t="s">
        <v>399</v>
      </c>
      <c r="L50" t="s">
        <v>400</v>
      </c>
      <c r="M50" t="s">
        <v>400</v>
      </c>
      <c r="N50" t="s">
        <v>342</v>
      </c>
      <c r="O50" t="s">
        <v>343</v>
      </c>
    </row>
    <row r="51" spans="1:15" x14ac:dyDescent="0.25">
      <c r="A51" s="4" t="str">
        <f t="shared" si="0"/>
        <v>HTI</v>
      </c>
      <c r="B51" s="4" t="s">
        <v>722</v>
      </c>
      <c r="C51" s="4" t="str">
        <f t="shared" si="1"/>
        <v>LACA</v>
      </c>
      <c r="J51">
        <v>51</v>
      </c>
      <c r="K51" t="s">
        <v>401</v>
      </c>
      <c r="L51" t="s">
        <v>402</v>
      </c>
      <c r="M51" t="s">
        <v>402</v>
      </c>
      <c r="N51" t="s">
        <v>342</v>
      </c>
      <c r="O51" t="s">
        <v>343</v>
      </c>
    </row>
    <row r="52" spans="1:15" x14ac:dyDescent="0.25">
      <c r="A52" s="4" t="str">
        <f t="shared" si="0"/>
        <v>JAM</v>
      </c>
      <c r="B52" s="4" t="s">
        <v>722</v>
      </c>
      <c r="C52" s="4" t="str">
        <f t="shared" si="1"/>
        <v>LACA</v>
      </c>
      <c r="J52">
        <v>52</v>
      </c>
      <c r="K52" t="s">
        <v>403</v>
      </c>
      <c r="L52" t="s">
        <v>404</v>
      </c>
      <c r="M52" t="s">
        <v>404</v>
      </c>
      <c r="N52" t="s">
        <v>342</v>
      </c>
      <c r="O52" t="s">
        <v>343</v>
      </c>
    </row>
    <row r="53" spans="1:15" x14ac:dyDescent="0.25">
      <c r="A53" s="4" t="str">
        <f t="shared" si="0"/>
        <v>PRI</v>
      </c>
      <c r="B53" s="4" t="s">
        <v>722</v>
      </c>
      <c r="C53" s="4" t="str">
        <f t="shared" si="1"/>
        <v>LACA</v>
      </c>
      <c r="J53">
        <v>53</v>
      </c>
      <c r="K53" t="s">
        <v>405</v>
      </c>
      <c r="L53" t="s">
        <v>406</v>
      </c>
      <c r="M53" t="s">
        <v>406</v>
      </c>
      <c r="N53" t="s">
        <v>342</v>
      </c>
      <c r="O53" t="s">
        <v>343</v>
      </c>
    </row>
    <row r="54" spans="1:15" x14ac:dyDescent="0.25">
      <c r="A54" s="4" t="str">
        <f t="shared" si="0"/>
        <v>TTO</v>
      </c>
      <c r="B54" s="4" t="s">
        <v>722</v>
      </c>
      <c r="C54" s="4" t="str">
        <f t="shared" si="1"/>
        <v>LACA</v>
      </c>
      <c r="J54">
        <v>54</v>
      </c>
      <c r="K54" t="s">
        <v>407</v>
      </c>
      <c r="L54" t="s">
        <v>408</v>
      </c>
      <c r="M54" t="s">
        <v>408</v>
      </c>
      <c r="N54" t="s">
        <v>342</v>
      </c>
      <c r="O54" t="s">
        <v>343</v>
      </c>
    </row>
    <row r="55" spans="1:15" x14ac:dyDescent="0.25">
      <c r="A55" s="4" t="str">
        <f t="shared" si="0"/>
        <v>XCB</v>
      </c>
      <c r="B55" s="4" t="s">
        <v>722</v>
      </c>
      <c r="C55" s="4" t="str">
        <f t="shared" si="1"/>
        <v>LACA</v>
      </c>
      <c r="J55">
        <v>55</v>
      </c>
      <c r="K55" t="s">
        <v>410</v>
      </c>
      <c r="L55" t="s">
        <v>411</v>
      </c>
      <c r="M55" t="s">
        <v>412</v>
      </c>
      <c r="N55" t="s">
        <v>342</v>
      </c>
      <c r="O55" t="s">
        <v>343</v>
      </c>
    </row>
    <row r="56" spans="1:15" x14ac:dyDescent="0.25">
      <c r="A56" s="4" t="str">
        <f t="shared" si="0"/>
        <v>aut</v>
      </c>
      <c r="B56" s="4" t="s">
        <v>722</v>
      </c>
      <c r="C56" s="4" t="str">
        <f t="shared" si="1"/>
        <v>aut</v>
      </c>
      <c r="J56">
        <v>56</v>
      </c>
      <c r="K56" t="s">
        <v>175</v>
      </c>
      <c r="L56" t="str">
        <f>K56</f>
        <v>aut</v>
      </c>
      <c r="M56" t="str">
        <f t="shared" ref="M56:N56" si="3">L56</f>
        <v>aut</v>
      </c>
      <c r="N56" t="str">
        <f t="shared" si="3"/>
        <v>aut</v>
      </c>
      <c r="O56" t="s">
        <v>807</v>
      </c>
    </row>
    <row r="57" spans="1:15" x14ac:dyDescent="0.25">
      <c r="A57" s="4" t="str">
        <f t="shared" si="0"/>
        <v>bel</v>
      </c>
      <c r="B57" s="4" t="s">
        <v>722</v>
      </c>
      <c r="C57" s="4" t="str">
        <f t="shared" si="1"/>
        <v>bel</v>
      </c>
      <c r="J57">
        <v>57</v>
      </c>
      <c r="K57" t="s">
        <v>176</v>
      </c>
      <c r="L57" t="str">
        <f t="shared" ref="L57:N57" si="4">K57</f>
        <v>bel</v>
      </c>
      <c r="M57" t="str">
        <f t="shared" si="4"/>
        <v>bel</v>
      </c>
      <c r="N57" t="str">
        <f t="shared" si="4"/>
        <v>bel</v>
      </c>
      <c r="O57" t="s">
        <v>808</v>
      </c>
    </row>
    <row r="58" spans="1:15" x14ac:dyDescent="0.25">
      <c r="A58" s="4" t="str">
        <f t="shared" si="0"/>
        <v>bgr</v>
      </c>
      <c r="B58" s="4" t="s">
        <v>722</v>
      </c>
      <c r="C58" s="4" t="str">
        <f t="shared" si="1"/>
        <v>bgr</v>
      </c>
      <c r="J58">
        <v>58</v>
      </c>
      <c r="K58" t="s">
        <v>12</v>
      </c>
      <c r="L58" t="str">
        <f t="shared" ref="L58:N58" si="5">K58</f>
        <v>bgr</v>
      </c>
      <c r="M58" t="str">
        <f t="shared" si="5"/>
        <v>bgr</v>
      </c>
      <c r="N58" t="str">
        <f t="shared" si="5"/>
        <v>bgr</v>
      </c>
      <c r="O58" t="s">
        <v>809</v>
      </c>
    </row>
    <row r="59" spans="1:15" x14ac:dyDescent="0.25">
      <c r="A59" s="4" t="str">
        <f t="shared" si="0"/>
        <v>hrv</v>
      </c>
      <c r="B59" s="4" t="s">
        <v>722</v>
      </c>
      <c r="C59" s="4" t="str">
        <f t="shared" si="1"/>
        <v>hrv</v>
      </c>
      <c r="J59">
        <v>59</v>
      </c>
      <c r="K59" t="s">
        <v>13</v>
      </c>
      <c r="L59" t="str">
        <f t="shared" ref="L59:N59" si="6">K59</f>
        <v>hrv</v>
      </c>
      <c r="M59" t="str">
        <f t="shared" si="6"/>
        <v>hrv</v>
      </c>
      <c r="N59" t="str">
        <f t="shared" si="6"/>
        <v>hrv</v>
      </c>
      <c r="O59" t="s">
        <v>810</v>
      </c>
    </row>
    <row r="60" spans="1:15" x14ac:dyDescent="0.25">
      <c r="A60" s="4" t="str">
        <f t="shared" si="0"/>
        <v>cyp</v>
      </c>
      <c r="B60" s="4" t="s">
        <v>722</v>
      </c>
      <c r="C60" s="4" t="str">
        <f t="shared" si="1"/>
        <v>cyp</v>
      </c>
      <c r="J60">
        <v>60</v>
      </c>
      <c r="K60" t="s">
        <v>0</v>
      </c>
      <c r="L60" t="str">
        <f t="shared" ref="L60:N60" si="7">K60</f>
        <v>cyp</v>
      </c>
      <c r="M60" t="str">
        <f t="shared" si="7"/>
        <v>cyp</v>
      </c>
      <c r="N60" t="str">
        <f t="shared" si="7"/>
        <v>cyp</v>
      </c>
      <c r="O60" t="s">
        <v>811</v>
      </c>
    </row>
    <row r="61" spans="1:15" x14ac:dyDescent="0.25">
      <c r="A61" s="4" t="str">
        <f t="shared" si="0"/>
        <v>cze</v>
      </c>
      <c r="B61" s="4" t="s">
        <v>722</v>
      </c>
      <c r="C61" s="4" t="str">
        <f t="shared" si="1"/>
        <v>cze</v>
      </c>
      <c r="J61">
        <v>61</v>
      </c>
      <c r="K61" t="s">
        <v>177</v>
      </c>
      <c r="L61" t="str">
        <f t="shared" ref="L61:N61" si="8">K61</f>
        <v>cze</v>
      </c>
      <c r="M61" t="str">
        <f t="shared" si="8"/>
        <v>cze</v>
      </c>
      <c r="N61" t="str">
        <f t="shared" si="8"/>
        <v>cze</v>
      </c>
      <c r="O61" t="s">
        <v>812</v>
      </c>
    </row>
    <row r="62" spans="1:15" x14ac:dyDescent="0.25">
      <c r="A62" s="4" t="str">
        <f t="shared" si="0"/>
        <v>dnk</v>
      </c>
      <c r="B62" s="4" t="s">
        <v>722</v>
      </c>
      <c r="C62" s="4" t="str">
        <f t="shared" si="1"/>
        <v>dnk</v>
      </c>
      <c r="J62">
        <v>62</v>
      </c>
      <c r="K62" t="s">
        <v>1</v>
      </c>
      <c r="L62" t="str">
        <f t="shared" ref="L62:N62" si="9">K62</f>
        <v>dnk</v>
      </c>
      <c r="M62" t="str">
        <f t="shared" si="9"/>
        <v>dnk</v>
      </c>
      <c r="N62" t="str">
        <f t="shared" si="9"/>
        <v>dnk</v>
      </c>
      <c r="O62" t="s">
        <v>813</v>
      </c>
    </row>
    <row r="63" spans="1:15" x14ac:dyDescent="0.25">
      <c r="A63" s="4" t="str">
        <f t="shared" si="0"/>
        <v>est</v>
      </c>
      <c r="B63" s="4" t="s">
        <v>722</v>
      </c>
      <c r="C63" s="4" t="str">
        <f t="shared" si="1"/>
        <v>est</v>
      </c>
      <c r="J63">
        <v>63</v>
      </c>
      <c r="K63" t="s">
        <v>2</v>
      </c>
      <c r="L63" t="str">
        <f t="shared" ref="L63:N63" si="10">K63</f>
        <v>est</v>
      </c>
      <c r="M63" t="str">
        <f t="shared" si="10"/>
        <v>est</v>
      </c>
      <c r="N63" t="str">
        <f t="shared" si="10"/>
        <v>est</v>
      </c>
      <c r="O63" t="s">
        <v>814</v>
      </c>
    </row>
    <row r="64" spans="1:15" x14ac:dyDescent="0.25">
      <c r="A64" s="4" t="str">
        <f t="shared" si="0"/>
        <v>fin</v>
      </c>
      <c r="B64" s="4" t="s">
        <v>722</v>
      </c>
      <c r="C64" s="4" t="str">
        <f t="shared" si="1"/>
        <v>fin</v>
      </c>
      <c r="J64">
        <v>64</v>
      </c>
      <c r="K64" t="s">
        <v>3</v>
      </c>
      <c r="L64" t="str">
        <f t="shared" ref="L64:N64" si="11">K64</f>
        <v>fin</v>
      </c>
      <c r="M64" t="str">
        <f t="shared" si="11"/>
        <v>fin</v>
      </c>
      <c r="N64" t="str">
        <f t="shared" si="11"/>
        <v>fin</v>
      </c>
      <c r="O64" t="s">
        <v>815</v>
      </c>
    </row>
    <row r="65" spans="1:15" x14ac:dyDescent="0.25">
      <c r="A65" s="4" t="str">
        <f t="shared" si="0"/>
        <v>fra</v>
      </c>
      <c r="B65" s="4" t="s">
        <v>722</v>
      </c>
      <c r="C65" s="4" t="str">
        <f t="shared" si="1"/>
        <v>fra</v>
      </c>
      <c r="J65">
        <v>65</v>
      </c>
      <c r="K65" t="s">
        <v>178</v>
      </c>
      <c r="L65" t="str">
        <f t="shared" ref="L65:N65" si="12">K65</f>
        <v>fra</v>
      </c>
      <c r="M65" t="str">
        <f t="shared" si="12"/>
        <v>fra</v>
      </c>
      <c r="N65" t="str">
        <f t="shared" si="12"/>
        <v>fra</v>
      </c>
      <c r="O65" t="s">
        <v>816</v>
      </c>
    </row>
    <row r="66" spans="1:15" x14ac:dyDescent="0.25">
      <c r="A66" s="4" t="str">
        <f t="shared" ref="A66:A129" si="13">K66</f>
        <v>deu</v>
      </c>
      <c r="B66" s="4" t="s">
        <v>722</v>
      </c>
      <c r="C66" s="4" t="str">
        <f t="shared" ref="C66:C129" si="14">N66</f>
        <v>deu</v>
      </c>
      <c r="J66">
        <v>66</v>
      </c>
      <c r="K66" t="s">
        <v>179</v>
      </c>
      <c r="L66" t="str">
        <f t="shared" ref="L66:N66" si="15">K66</f>
        <v>deu</v>
      </c>
      <c r="M66" t="str">
        <f t="shared" si="15"/>
        <v>deu</v>
      </c>
      <c r="N66" t="str">
        <f t="shared" si="15"/>
        <v>deu</v>
      </c>
      <c r="O66" t="s">
        <v>817</v>
      </c>
    </row>
    <row r="67" spans="1:15" x14ac:dyDescent="0.25">
      <c r="A67" s="4" t="str">
        <f t="shared" si="13"/>
        <v>grc</v>
      </c>
      <c r="B67" s="4" t="s">
        <v>722</v>
      </c>
      <c r="C67" s="4" t="str">
        <f t="shared" si="14"/>
        <v>grc</v>
      </c>
      <c r="J67">
        <v>67</v>
      </c>
      <c r="K67" t="s">
        <v>180</v>
      </c>
      <c r="L67" t="str">
        <f t="shared" ref="L67:N67" si="16">K67</f>
        <v>grc</v>
      </c>
      <c r="M67" t="str">
        <f t="shared" si="16"/>
        <v>grc</v>
      </c>
      <c r="N67" t="str">
        <f t="shared" si="16"/>
        <v>grc</v>
      </c>
      <c r="O67" t="s">
        <v>818</v>
      </c>
    </row>
    <row r="68" spans="1:15" x14ac:dyDescent="0.25">
      <c r="A68" s="4" t="str">
        <f t="shared" si="13"/>
        <v>hun</v>
      </c>
      <c r="B68" s="4" t="s">
        <v>722</v>
      </c>
      <c r="C68" s="4" t="str">
        <f t="shared" si="14"/>
        <v>hun</v>
      </c>
      <c r="J68">
        <v>68</v>
      </c>
      <c r="K68" t="s">
        <v>4</v>
      </c>
      <c r="L68" t="str">
        <f t="shared" ref="L68:N68" si="17">K68</f>
        <v>hun</v>
      </c>
      <c r="M68" t="str">
        <f t="shared" si="17"/>
        <v>hun</v>
      </c>
      <c r="N68" t="str">
        <f t="shared" si="17"/>
        <v>hun</v>
      </c>
      <c r="O68" t="s">
        <v>819</v>
      </c>
    </row>
    <row r="69" spans="1:15" x14ac:dyDescent="0.25">
      <c r="A69" s="4" t="str">
        <f t="shared" si="13"/>
        <v>irl</v>
      </c>
      <c r="B69" s="4" t="s">
        <v>722</v>
      </c>
      <c r="C69" s="4" t="str">
        <f t="shared" si="14"/>
        <v>irl</v>
      </c>
      <c r="J69">
        <v>69</v>
      </c>
      <c r="K69" t="s">
        <v>5</v>
      </c>
      <c r="L69" t="str">
        <f t="shared" ref="L69:N69" si="18">K69</f>
        <v>irl</v>
      </c>
      <c r="M69" t="str">
        <f t="shared" si="18"/>
        <v>irl</v>
      </c>
      <c r="N69" t="str">
        <f t="shared" si="18"/>
        <v>irl</v>
      </c>
      <c r="O69" t="s">
        <v>820</v>
      </c>
    </row>
    <row r="70" spans="1:15" x14ac:dyDescent="0.25">
      <c r="A70" s="4" t="str">
        <f t="shared" si="13"/>
        <v>ita</v>
      </c>
      <c r="B70" s="4" t="s">
        <v>722</v>
      </c>
      <c r="C70" s="4" t="str">
        <f t="shared" si="14"/>
        <v>ita</v>
      </c>
      <c r="J70">
        <v>70</v>
      </c>
      <c r="K70" t="s">
        <v>181</v>
      </c>
      <c r="L70" t="str">
        <f t="shared" ref="L70:N70" si="19">K70</f>
        <v>ita</v>
      </c>
      <c r="M70" t="str">
        <f t="shared" si="19"/>
        <v>ita</v>
      </c>
      <c r="N70" t="str">
        <f t="shared" si="19"/>
        <v>ita</v>
      </c>
      <c r="O70" t="s">
        <v>821</v>
      </c>
    </row>
    <row r="71" spans="1:15" x14ac:dyDescent="0.25">
      <c r="A71" s="4" t="str">
        <f t="shared" si="13"/>
        <v>lva</v>
      </c>
      <c r="B71" s="4" t="s">
        <v>722</v>
      </c>
      <c r="C71" s="4" t="str">
        <f t="shared" si="14"/>
        <v>lva</v>
      </c>
      <c r="J71">
        <v>71</v>
      </c>
      <c r="K71" t="s">
        <v>6</v>
      </c>
      <c r="L71" t="str">
        <f t="shared" ref="L71:N71" si="20">K71</f>
        <v>lva</v>
      </c>
      <c r="M71" t="str">
        <f t="shared" si="20"/>
        <v>lva</v>
      </c>
      <c r="N71" t="str">
        <f t="shared" si="20"/>
        <v>lva</v>
      </c>
      <c r="O71" t="s">
        <v>822</v>
      </c>
    </row>
    <row r="72" spans="1:15" x14ac:dyDescent="0.25">
      <c r="A72" s="4" t="str">
        <f t="shared" si="13"/>
        <v>ltu</v>
      </c>
      <c r="B72" s="4" t="s">
        <v>722</v>
      </c>
      <c r="C72" s="4" t="str">
        <f t="shared" si="14"/>
        <v>ltu</v>
      </c>
      <c r="J72">
        <v>72</v>
      </c>
      <c r="K72" t="s">
        <v>7</v>
      </c>
      <c r="L72" t="str">
        <f t="shared" ref="L72:N72" si="21">K72</f>
        <v>ltu</v>
      </c>
      <c r="M72" t="str">
        <f t="shared" si="21"/>
        <v>ltu</v>
      </c>
      <c r="N72" t="str">
        <f t="shared" si="21"/>
        <v>ltu</v>
      </c>
      <c r="O72" t="s">
        <v>823</v>
      </c>
    </row>
    <row r="73" spans="1:15" x14ac:dyDescent="0.25">
      <c r="A73" s="4" t="str">
        <f t="shared" si="13"/>
        <v>lux</v>
      </c>
      <c r="B73" s="4" t="s">
        <v>722</v>
      </c>
      <c r="C73" s="4" t="str">
        <f t="shared" si="14"/>
        <v>lux</v>
      </c>
      <c r="J73">
        <v>73</v>
      </c>
      <c r="K73" t="s">
        <v>8</v>
      </c>
      <c r="L73" t="str">
        <f t="shared" ref="L73:N73" si="22">K73</f>
        <v>lux</v>
      </c>
      <c r="M73" t="str">
        <f t="shared" si="22"/>
        <v>lux</v>
      </c>
      <c r="N73" t="str">
        <f t="shared" si="22"/>
        <v>lux</v>
      </c>
      <c r="O73" t="s">
        <v>824</v>
      </c>
    </row>
    <row r="74" spans="1:15" x14ac:dyDescent="0.25">
      <c r="A74" s="4" t="str">
        <f t="shared" si="13"/>
        <v>mlt</v>
      </c>
      <c r="B74" s="4" t="s">
        <v>722</v>
      </c>
      <c r="C74" s="4" t="str">
        <f t="shared" si="14"/>
        <v>mlt</v>
      </c>
      <c r="J74">
        <v>74</v>
      </c>
      <c r="K74" t="s">
        <v>9</v>
      </c>
      <c r="L74" t="str">
        <f t="shared" ref="L74:N74" si="23">K74</f>
        <v>mlt</v>
      </c>
      <c r="M74" t="str">
        <f t="shared" si="23"/>
        <v>mlt</v>
      </c>
      <c r="N74" t="str">
        <f t="shared" si="23"/>
        <v>mlt</v>
      </c>
      <c r="O74" t="s">
        <v>825</v>
      </c>
    </row>
    <row r="75" spans="1:15" x14ac:dyDescent="0.25">
      <c r="A75" s="4" t="str">
        <f t="shared" si="13"/>
        <v>nld</v>
      </c>
      <c r="B75" s="4" t="s">
        <v>722</v>
      </c>
      <c r="C75" s="4" t="str">
        <f t="shared" si="14"/>
        <v>nld</v>
      </c>
      <c r="J75">
        <v>75</v>
      </c>
      <c r="K75" t="s">
        <v>182</v>
      </c>
      <c r="L75" t="str">
        <f t="shared" ref="L75:N75" si="24">K75</f>
        <v>nld</v>
      </c>
      <c r="M75" t="str">
        <f t="shared" si="24"/>
        <v>nld</v>
      </c>
      <c r="N75" t="str">
        <f t="shared" si="24"/>
        <v>nld</v>
      </c>
      <c r="O75" t="s">
        <v>826</v>
      </c>
    </row>
    <row r="76" spans="1:15" x14ac:dyDescent="0.25">
      <c r="A76" s="4" t="str">
        <f t="shared" si="13"/>
        <v>pol</v>
      </c>
      <c r="B76" s="4" t="s">
        <v>722</v>
      </c>
      <c r="C76" s="4" t="str">
        <f t="shared" si="14"/>
        <v>pol</v>
      </c>
      <c r="J76">
        <v>76</v>
      </c>
      <c r="K76" t="s">
        <v>183</v>
      </c>
      <c r="L76" t="str">
        <f t="shared" ref="L76:N76" si="25">K76</f>
        <v>pol</v>
      </c>
      <c r="M76" t="str">
        <f t="shared" si="25"/>
        <v>pol</v>
      </c>
      <c r="N76" t="str">
        <f t="shared" si="25"/>
        <v>pol</v>
      </c>
      <c r="O76" t="s">
        <v>827</v>
      </c>
    </row>
    <row r="77" spans="1:15" x14ac:dyDescent="0.25">
      <c r="A77" s="4" t="str">
        <f t="shared" si="13"/>
        <v>prt</v>
      </c>
      <c r="B77" s="4" t="s">
        <v>722</v>
      </c>
      <c r="C77" s="4" t="str">
        <f t="shared" si="14"/>
        <v>prt</v>
      </c>
      <c r="J77">
        <v>77</v>
      </c>
      <c r="K77" t="s">
        <v>184</v>
      </c>
      <c r="L77" t="str">
        <f t="shared" ref="L77:N77" si="26">K77</f>
        <v>prt</v>
      </c>
      <c r="M77" t="str">
        <f t="shared" si="26"/>
        <v>prt</v>
      </c>
      <c r="N77" t="str">
        <f t="shared" si="26"/>
        <v>prt</v>
      </c>
      <c r="O77" t="s">
        <v>828</v>
      </c>
    </row>
    <row r="78" spans="1:15" x14ac:dyDescent="0.25">
      <c r="A78" s="4" t="str">
        <f t="shared" si="13"/>
        <v>rou</v>
      </c>
      <c r="B78" s="4" t="s">
        <v>722</v>
      </c>
      <c r="C78" s="4" t="str">
        <f t="shared" si="14"/>
        <v>rou</v>
      </c>
      <c r="J78">
        <v>78</v>
      </c>
      <c r="K78" t="s">
        <v>14</v>
      </c>
      <c r="L78" t="str">
        <f t="shared" ref="L78:N78" si="27">K78</f>
        <v>rou</v>
      </c>
      <c r="M78" t="str">
        <f t="shared" si="27"/>
        <v>rou</v>
      </c>
      <c r="N78" t="str">
        <f t="shared" si="27"/>
        <v>rou</v>
      </c>
      <c r="O78" t="s">
        <v>829</v>
      </c>
    </row>
    <row r="79" spans="1:15" x14ac:dyDescent="0.25">
      <c r="A79" s="4" t="str">
        <f t="shared" si="13"/>
        <v>svk</v>
      </c>
      <c r="B79" s="4" t="s">
        <v>722</v>
      </c>
      <c r="C79" s="4" t="str">
        <f t="shared" si="14"/>
        <v>svk</v>
      </c>
      <c r="J79">
        <v>79</v>
      </c>
      <c r="K79" t="s">
        <v>10</v>
      </c>
      <c r="L79" t="str">
        <f t="shared" ref="L79:N79" si="28">K79</f>
        <v>svk</v>
      </c>
      <c r="M79" t="str">
        <f t="shared" si="28"/>
        <v>svk</v>
      </c>
      <c r="N79" t="str">
        <f t="shared" si="28"/>
        <v>svk</v>
      </c>
      <c r="O79" t="s">
        <v>830</v>
      </c>
    </row>
    <row r="80" spans="1:15" x14ac:dyDescent="0.25">
      <c r="A80" s="4" t="str">
        <f t="shared" si="13"/>
        <v>svn</v>
      </c>
      <c r="B80" s="4" t="s">
        <v>722</v>
      </c>
      <c r="C80" s="4" t="str">
        <f t="shared" si="14"/>
        <v>svn</v>
      </c>
      <c r="J80">
        <v>80</v>
      </c>
      <c r="K80" t="s">
        <v>11</v>
      </c>
      <c r="L80" t="str">
        <f t="shared" ref="L80:N80" si="29">K80</f>
        <v>svn</v>
      </c>
      <c r="M80" t="str">
        <f t="shared" si="29"/>
        <v>svn</v>
      </c>
      <c r="N80" t="str">
        <f t="shared" si="29"/>
        <v>svn</v>
      </c>
      <c r="O80" t="s">
        <v>921</v>
      </c>
    </row>
    <row r="81" spans="1:15" x14ac:dyDescent="0.25">
      <c r="A81" s="4" t="str">
        <f t="shared" si="13"/>
        <v>esp</v>
      </c>
      <c r="B81" s="4" t="s">
        <v>722</v>
      </c>
      <c r="C81" s="4" t="str">
        <f t="shared" si="14"/>
        <v>esp</v>
      </c>
      <c r="J81">
        <v>81</v>
      </c>
      <c r="K81" t="s">
        <v>185</v>
      </c>
      <c r="L81" t="str">
        <f t="shared" ref="L81:N81" si="30">K81</f>
        <v>esp</v>
      </c>
      <c r="M81" t="str">
        <f t="shared" si="30"/>
        <v>esp</v>
      </c>
      <c r="N81" t="str">
        <f t="shared" si="30"/>
        <v>esp</v>
      </c>
      <c r="O81" t="s">
        <v>832</v>
      </c>
    </row>
    <row r="82" spans="1:15" x14ac:dyDescent="0.25">
      <c r="A82" s="4" t="str">
        <f t="shared" si="13"/>
        <v>swe</v>
      </c>
      <c r="B82" s="4" t="s">
        <v>722</v>
      </c>
      <c r="C82" s="4" t="str">
        <f t="shared" si="14"/>
        <v>swe</v>
      </c>
      <c r="J82">
        <v>82</v>
      </c>
      <c r="K82" t="s">
        <v>186</v>
      </c>
      <c r="L82" t="str">
        <f t="shared" ref="L82:N83" si="31">K82</f>
        <v>swe</v>
      </c>
      <c r="M82" t="str">
        <f t="shared" si="31"/>
        <v>swe</v>
      </c>
      <c r="N82" t="str">
        <f t="shared" si="31"/>
        <v>swe</v>
      </c>
      <c r="O82" t="s">
        <v>833</v>
      </c>
    </row>
    <row r="83" spans="1:15" x14ac:dyDescent="0.25">
      <c r="A83" s="4" t="str">
        <f t="shared" si="13"/>
        <v>gbr</v>
      </c>
      <c r="B83" s="4" t="s">
        <v>722</v>
      </c>
      <c r="C83" s="4" t="str">
        <f t="shared" si="14"/>
        <v>gbr</v>
      </c>
      <c r="J83">
        <v>83</v>
      </c>
      <c r="K83" t="s">
        <v>187</v>
      </c>
      <c r="L83" t="str">
        <f t="shared" si="31"/>
        <v>gbr</v>
      </c>
      <c r="M83" t="str">
        <f t="shared" si="31"/>
        <v>gbr</v>
      </c>
      <c r="N83" t="str">
        <f t="shared" si="31"/>
        <v>gbr</v>
      </c>
      <c r="O83" t="s">
        <v>922</v>
      </c>
    </row>
    <row r="84" spans="1:15" x14ac:dyDescent="0.25">
      <c r="A84" s="4" t="str">
        <f t="shared" si="13"/>
        <v>CHE</v>
      </c>
      <c r="B84" s="4" t="s">
        <v>722</v>
      </c>
      <c r="C84" s="4" t="str">
        <f t="shared" si="14"/>
        <v>REurope</v>
      </c>
      <c r="J84">
        <v>84</v>
      </c>
      <c r="K84" t="s">
        <v>453</v>
      </c>
      <c r="L84" t="s">
        <v>454</v>
      </c>
      <c r="M84" t="s">
        <v>454</v>
      </c>
      <c r="N84" t="s">
        <v>191</v>
      </c>
      <c r="O84" t="s">
        <v>191</v>
      </c>
    </row>
    <row r="85" spans="1:15" x14ac:dyDescent="0.25">
      <c r="A85" s="4" t="str">
        <f t="shared" si="13"/>
        <v>NOR</v>
      </c>
      <c r="B85" s="4" t="s">
        <v>722</v>
      </c>
      <c r="C85" s="4" t="str">
        <f t="shared" si="14"/>
        <v>REurope</v>
      </c>
      <c r="J85">
        <v>85</v>
      </c>
      <c r="K85" t="s">
        <v>455</v>
      </c>
      <c r="L85" t="s">
        <v>456</v>
      </c>
      <c r="M85" t="s">
        <v>456</v>
      </c>
      <c r="N85" t="s">
        <v>191</v>
      </c>
      <c r="O85" t="s">
        <v>191</v>
      </c>
    </row>
    <row r="86" spans="1:15" x14ac:dyDescent="0.25">
      <c r="A86" s="4" t="str">
        <f t="shared" si="13"/>
        <v>XEF</v>
      </c>
      <c r="B86" s="4" t="s">
        <v>722</v>
      </c>
      <c r="C86" s="4" t="str">
        <f t="shared" si="14"/>
        <v>REurope</v>
      </c>
      <c r="J86">
        <v>86</v>
      </c>
      <c r="K86" t="s">
        <v>460</v>
      </c>
      <c r="L86" t="s">
        <v>461</v>
      </c>
      <c r="M86" t="s">
        <v>462</v>
      </c>
      <c r="N86" t="s">
        <v>191</v>
      </c>
      <c r="O86" t="s">
        <v>191</v>
      </c>
    </row>
    <row r="87" spans="1:15" x14ac:dyDescent="0.25">
      <c r="A87" s="4" t="str">
        <f t="shared" si="13"/>
        <v>ALB</v>
      </c>
      <c r="B87" s="4" t="s">
        <v>722</v>
      </c>
      <c r="C87" s="4" t="str">
        <f t="shared" si="14"/>
        <v>REurope</v>
      </c>
      <c r="J87">
        <v>87</v>
      </c>
      <c r="K87" t="s">
        <v>465</v>
      </c>
      <c r="L87" t="s">
        <v>466</v>
      </c>
      <c r="M87" t="s">
        <v>466</v>
      </c>
      <c r="N87" t="s">
        <v>191</v>
      </c>
      <c r="O87" t="s">
        <v>191</v>
      </c>
    </row>
    <row r="88" spans="1:15" x14ac:dyDescent="0.25">
      <c r="A88" s="4" t="str">
        <f t="shared" si="13"/>
        <v>SRB</v>
      </c>
      <c r="B88" s="4" t="s">
        <v>722</v>
      </c>
      <c r="C88" s="4" t="str">
        <f t="shared" si="14"/>
        <v>REurope</v>
      </c>
      <c r="J88">
        <v>88</v>
      </c>
      <c r="K88" t="s">
        <v>467</v>
      </c>
      <c r="L88" t="s">
        <v>468</v>
      </c>
      <c r="M88" t="s">
        <v>468</v>
      </c>
      <c r="N88" t="s">
        <v>191</v>
      </c>
      <c r="O88" t="s">
        <v>191</v>
      </c>
    </row>
    <row r="89" spans="1:15" x14ac:dyDescent="0.25">
      <c r="A89" s="4" t="str">
        <f t="shared" si="13"/>
        <v>BLR</v>
      </c>
      <c r="B89" s="4" t="s">
        <v>722</v>
      </c>
      <c r="C89" s="4" t="str">
        <f t="shared" si="14"/>
        <v>FSU</v>
      </c>
      <c r="J89">
        <v>89</v>
      </c>
      <c r="K89" t="s">
        <v>469</v>
      </c>
      <c r="L89" t="s">
        <v>470</v>
      </c>
      <c r="M89" t="s">
        <v>470</v>
      </c>
      <c r="N89" t="s">
        <v>15</v>
      </c>
      <c r="O89" t="s">
        <v>471</v>
      </c>
    </row>
    <row r="90" spans="1:15" x14ac:dyDescent="0.25">
      <c r="A90" s="4" t="str">
        <f t="shared" si="13"/>
        <v>RUS</v>
      </c>
      <c r="B90" s="4" t="s">
        <v>722</v>
      </c>
      <c r="C90" s="4" t="str">
        <f t="shared" si="14"/>
        <v>FSU</v>
      </c>
      <c r="J90">
        <v>90</v>
      </c>
      <c r="K90" t="s">
        <v>472</v>
      </c>
      <c r="L90" t="s">
        <v>473</v>
      </c>
      <c r="M90" t="s">
        <v>473</v>
      </c>
      <c r="N90" t="s">
        <v>15</v>
      </c>
      <c r="O90" t="s">
        <v>471</v>
      </c>
    </row>
    <row r="91" spans="1:15" x14ac:dyDescent="0.25">
      <c r="A91" s="4" t="str">
        <f t="shared" si="13"/>
        <v>UKR</v>
      </c>
      <c r="B91" s="4" t="s">
        <v>722</v>
      </c>
      <c r="C91" s="4" t="str">
        <f t="shared" si="14"/>
        <v>FSU</v>
      </c>
      <c r="J91">
        <v>91</v>
      </c>
      <c r="K91" t="s">
        <v>474</v>
      </c>
      <c r="L91" t="s">
        <v>475</v>
      </c>
      <c r="M91" t="s">
        <v>475</v>
      </c>
      <c r="N91" t="s">
        <v>15</v>
      </c>
      <c r="O91" t="s">
        <v>471</v>
      </c>
    </row>
    <row r="92" spans="1:15" x14ac:dyDescent="0.25">
      <c r="A92" s="4" t="str">
        <f t="shared" si="13"/>
        <v>XEE</v>
      </c>
      <c r="B92" s="4" t="s">
        <v>722</v>
      </c>
      <c r="C92" s="4" t="str">
        <f t="shared" si="14"/>
        <v>REurope</v>
      </c>
      <c r="J92">
        <v>92</v>
      </c>
      <c r="K92" t="s">
        <v>477</v>
      </c>
      <c r="L92" t="s">
        <v>478</v>
      </c>
      <c r="M92" t="s">
        <v>479</v>
      </c>
      <c r="N92" t="s">
        <v>191</v>
      </c>
      <c r="O92" t="s">
        <v>191</v>
      </c>
    </row>
    <row r="93" spans="1:15" x14ac:dyDescent="0.25">
      <c r="A93" s="4" t="str">
        <f t="shared" si="13"/>
        <v>XER</v>
      </c>
      <c r="B93" s="4" t="s">
        <v>722</v>
      </c>
      <c r="C93" s="4" t="str">
        <f t="shared" si="14"/>
        <v>REurope</v>
      </c>
      <c r="J93">
        <v>93</v>
      </c>
      <c r="K93" t="s">
        <v>481</v>
      </c>
      <c r="L93" t="s">
        <v>482</v>
      </c>
      <c r="M93" t="s">
        <v>483</v>
      </c>
      <c r="N93" t="s">
        <v>191</v>
      </c>
      <c r="O93" t="s">
        <v>191</v>
      </c>
    </row>
    <row r="94" spans="1:15" x14ac:dyDescent="0.25">
      <c r="A94" s="4" t="str">
        <f t="shared" si="13"/>
        <v>KAZ</v>
      </c>
      <c r="B94" s="4" t="s">
        <v>722</v>
      </c>
      <c r="C94" s="4" t="str">
        <f t="shared" si="14"/>
        <v>FSU</v>
      </c>
      <c r="J94">
        <v>94</v>
      </c>
      <c r="K94" t="s">
        <v>510</v>
      </c>
      <c r="L94" t="s">
        <v>511</v>
      </c>
      <c r="M94" t="s">
        <v>511</v>
      </c>
      <c r="N94" t="s">
        <v>15</v>
      </c>
      <c r="O94" t="s">
        <v>471</v>
      </c>
    </row>
    <row r="95" spans="1:15" x14ac:dyDescent="0.25">
      <c r="A95" s="4" t="str">
        <f t="shared" si="13"/>
        <v>KGZ</v>
      </c>
      <c r="B95" s="4" t="s">
        <v>722</v>
      </c>
      <c r="C95" s="4" t="str">
        <f t="shared" si="14"/>
        <v>FSU</v>
      </c>
      <c r="J95">
        <v>95</v>
      </c>
      <c r="K95" t="s">
        <v>512</v>
      </c>
      <c r="L95" t="s">
        <v>513</v>
      </c>
      <c r="M95" t="s">
        <v>513</v>
      </c>
      <c r="N95" t="s">
        <v>15</v>
      </c>
      <c r="O95" t="s">
        <v>471</v>
      </c>
    </row>
    <row r="96" spans="1:15" x14ac:dyDescent="0.25">
      <c r="A96" s="4" t="str">
        <f t="shared" si="13"/>
        <v>TJK</v>
      </c>
      <c r="B96" s="4" t="s">
        <v>722</v>
      </c>
      <c r="C96" s="4" t="str">
        <f t="shared" si="14"/>
        <v>FSU</v>
      </c>
      <c r="J96">
        <v>96</v>
      </c>
      <c r="K96" t="s">
        <v>514</v>
      </c>
      <c r="L96" t="s">
        <v>515</v>
      </c>
      <c r="M96" t="s">
        <v>515</v>
      </c>
      <c r="N96" t="s">
        <v>15</v>
      </c>
      <c r="O96" t="s">
        <v>471</v>
      </c>
    </row>
    <row r="97" spans="1:15" x14ac:dyDescent="0.25">
      <c r="A97" s="4" t="str">
        <f t="shared" si="13"/>
        <v>UZB</v>
      </c>
      <c r="B97" s="4" t="s">
        <v>722</v>
      </c>
      <c r="C97" s="4" t="str">
        <f t="shared" si="14"/>
        <v>FSU</v>
      </c>
      <c r="J97">
        <v>97</v>
      </c>
      <c r="K97" t="s">
        <v>516</v>
      </c>
      <c r="L97" t="s">
        <v>517</v>
      </c>
      <c r="M97" t="s">
        <v>517</v>
      </c>
      <c r="N97" t="s">
        <v>15</v>
      </c>
      <c r="O97" t="s">
        <v>471</v>
      </c>
    </row>
    <row r="98" spans="1:15" x14ac:dyDescent="0.25">
      <c r="A98" s="4" t="str">
        <f t="shared" si="13"/>
        <v>XSU</v>
      </c>
      <c r="B98" s="4" t="s">
        <v>722</v>
      </c>
      <c r="C98" s="4" t="str">
        <f t="shared" si="14"/>
        <v>FSU</v>
      </c>
      <c r="J98">
        <v>98</v>
      </c>
      <c r="K98" t="s">
        <v>519</v>
      </c>
      <c r="L98" t="s">
        <v>520</v>
      </c>
      <c r="M98" t="s">
        <v>521</v>
      </c>
      <c r="N98" t="s">
        <v>15</v>
      </c>
      <c r="O98" t="s">
        <v>471</v>
      </c>
    </row>
    <row r="99" spans="1:15" x14ac:dyDescent="0.25">
      <c r="A99" s="4" t="str">
        <f t="shared" si="13"/>
        <v>ARM</v>
      </c>
      <c r="B99" s="4" t="s">
        <v>722</v>
      </c>
      <c r="C99" s="4" t="str">
        <f t="shared" si="14"/>
        <v>FSU</v>
      </c>
      <c r="J99">
        <v>99</v>
      </c>
      <c r="K99" t="s">
        <v>522</v>
      </c>
      <c r="L99" t="s">
        <v>523</v>
      </c>
      <c r="M99" t="s">
        <v>523</v>
      </c>
      <c r="N99" t="s">
        <v>15</v>
      </c>
      <c r="O99" t="s">
        <v>471</v>
      </c>
    </row>
    <row r="100" spans="1:15" x14ac:dyDescent="0.25">
      <c r="A100" s="4" t="str">
        <f t="shared" si="13"/>
        <v>AZE</v>
      </c>
      <c r="B100" s="4" t="s">
        <v>722</v>
      </c>
      <c r="C100" s="4" t="str">
        <f t="shared" si="14"/>
        <v>FSU</v>
      </c>
      <c r="J100">
        <v>100</v>
      </c>
      <c r="K100" t="s">
        <v>524</v>
      </c>
      <c r="L100" t="s">
        <v>525</v>
      </c>
      <c r="M100" t="s">
        <v>525</v>
      </c>
      <c r="N100" t="s">
        <v>15</v>
      </c>
      <c r="O100" t="s">
        <v>471</v>
      </c>
    </row>
    <row r="101" spans="1:15" x14ac:dyDescent="0.25">
      <c r="A101" s="4" t="str">
        <f t="shared" si="13"/>
        <v>GEO</v>
      </c>
      <c r="B101" s="4" t="s">
        <v>722</v>
      </c>
      <c r="C101" s="4" t="str">
        <f t="shared" si="14"/>
        <v>FSU</v>
      </c>
      <c r="J101">
        <v>101</v>
      </c>
      <c r="K101" t="s">
        <v>526</v>
      </c>
      <c r="L101" t="s">
        <v>527</v>
      </c>
      <c r="M101" t="s">
        <v>527</v>
      </c>
      <c r="N101" t="s">
        <v>15</v>
      </c>
      <c r="O101" t="s">
        <v>471</v>
      </c>
    </row>
    <row r="102" spans="1:15" x14ac:dyDescent="0.25">
      <c r="A102" s="4" t="str">
        <f t="shared" si="13"/>
        <v>BHR</v>
      </c>
      <c r="B102" s="4" t="s">
        <v>722</v>
      </c>
      <c r="C102" s="4" t="str">
        <f t="shared" si="14"/>
        <v>MENA</v>
      </c>
      <c r="J102">
        <v>102</v>
      </c>
      <c r="K102" t="s">
        <v>528</v>
      </c>
      <c r="L102" t="s">
        <v>529</v>
      </c>
      <c r="M102" t="s">
        <v>529</v>
      </c>
      <c r="N102" t="s">
        <v>196</v>
      </c>
      <c r="O102" t="s">
        <v>207</v>
      </c>
    </row>
    <row r="103" spans="1:15" x14ac:dyDescent="0.25">
      <c r="A103" s="4" t="str">
        <f t="shared" si="13"/>
        <v>IRN</v>
      </c>
      <c r="B103" s="4" t="s">
        <v>722</v>
      </c>
      <c r="C103" s="4" t="str">
        <f t="shared" si="14"/>
        <v>MENA</v>
      </c>
      <c r="J103">
        <v>103</v>
      </c>
      <c r="K103" t="s">
        <v>530</v>
      </c>
      <c r="L103" t="s">
        <v>531</v>
      </c>
      <c r="M103" t="s">
        <v>531</v>
      </c>
      <c r="N103" t="s">
        <v>196</v>
      </c>
      <c r="O103" t="s">
        <v>207</v>
      </c>
    </row>
    <row r="104" spans="1:15" x14ac:dyDescent="0.25">
      <c r="A104" s="4" t="str">
        <f t="shared" si="13"/>
        <v>IRQ</v>
      </c>
      <c r="B104" s="4" t="s">
        <v>722</v>
      </c>
      <c r="C104" s="4" t="str">
        <f t="shared" si="14"/>
        <v>MENA</v>
      </c>
      <c r="J104">
        <v>104</v>
      </c>
      <c r="K104" t="s">
        <v>532</v>
      </c>
      <c r="L104" t="s">
        <v>533</v>
      </c>
      <c r="M104" t="s">
        <v>533</v>
      </c>
      <c r="N104" t="s">
        <v>196</v>
      </c>
      <c r="O104" t="s">
        <v>207</v>
      </c>
    </row>
    <row r="105" spans="1:15" x14ac:dyDescent="0.25">
      <c r="A105" s="4" t="str">
        <f t="shared" si="13"/>
        <v>ISR</v>
      </c>
      <c r="B105" s="4" t="s">
        <v>722</v>
      </c>
      <c r="C105" s="4" t="str">
        <f t="shared" si="14"/>
        <v>MENA</v>
      </c>
      <c r="J105">
        <v>105</v>
      </c>
      <c r="K105" t="s">
        <v>534</v>
      </c>
      <c r="L105" t="s">
        <v>535</v>
      </c>
      <c r="M105" t="s">
        <v>535</v>
      </c>
      <c r="N105" t="s">
        <v>196</v>
      </c>
      <c r="O105" t="s">
        <v>207</v>
      </c>
    </row>
    <row r="106" spans="1:15" x14ac:dyDescent="0.25">
      <c r="A106" s="4" t="str">
        <f t="shared" si="13"/>
        <v>JOR</v>
      </c>
      <c r="B106" s="4" t="s">
        <v>722</v>
      </c>
      <c r="C106" s="4" t="str">
        <f t="shared" si="14"/>
        <v>MENA</v>
      </c>
      <c r="J106">
        <v>106</v>
      </c>
      <c r="K106" t="s">
        <v>536</v>
      </c>
      <c r="L106" t="s">
        <v>537</v>
      </c>
      <c r="M106" t="s">
        <v>537</v>
      </c>
      <c r="N106" t="s">
        <v>196</v>
      </c>
      <c r="O106" t="s">
        <v>207</v>
      </c>
    </row>
    <row r="107" spans="1:15" x14ac:dyDescent="0.25">
      <c r="A107" s="4" t="str">
        <f t="shared" si="13"/>
        <v>KWT</v>
      </c>
      <c r="B107" s="4" t="s">
        <v>722</v>
      </c>
      <c r="C107" s="4" t="str">
        <f t="shared" si="14"/>
        <v>MENA</v>
      </c>
      <c r="J107">
        <v>107</v>
      </c>
      <c r="K107" t="s">
        <v>538</v>
      </c>
      <c r="L107" t="s">
        <v>539</v>
      </c>
      <c r="M107" t="s">
        <v>539</v>
      </c>
      <c r="N107" t="s">
        <v>196</v>
      </c>
      <c r="O107" t="s">
        <v>207</v>
      </c>
    </row>
    <row r="108" spans="1:15" x14ac:dyDescent="0.25">
      <c r="A108" s="4" t="str">
        <f t="shared" si="13"/>
        <v>LBN</v>
      </c>
      <c r="B108" s="4" t="s">
        <v>722</v>
      </c>
      <c r="C108" s="4" t="str">
        <f t="shared" si="14"/>
        <v>MENA</v>
      </c>
      <c r="J108">
        <v>108</v>
      </c>
      <c r="K108" t="s">
        <v>540</v>
      </c>
      <c r="L108" t="s">
        <v>541</v>
      </c>
      <c r="M108" t="s">
        <v>541</v>
      </c>
      <c r="N108" t="s">
        <v>196</v>
      </c>
      <c r="O108" t="s">
        <v>207</v>
      </c>
    </row>
    <row r="109" spans="1:15" x14ac:dyDescent="0.25">
      <c r="A109" s="4" t="str">
        <f t="shared" si="13"/>
        <v>OMN</v>
      </c>
      <c r="B109" s="4" t="s">
        <v>722</v>
      </c>
      <c r="C109" s="4" t="str">
        <f t="shared" si="14"/>
        <v>MENA</v>
      </c>
      <c r="J109">
        <v>109</v>
      </c>
      <c r="K109" t="s">
        <v>542</v>
      </c>
      <c r="L109" t="s">
        <v>543</v>
      </c>
      <c r="M109" t="s">
        <v>543</v>
      </c>
      <c r="N109" t="s">
        <v>196</v>
      </c>
      <c r="O109" t="s">
        <v>207</v>
      </c>
    </row>
    <row r="110" spans="1:15" x14ac:dyDescent="0.25">
      <c r="A110" s="4" t="str">
        <f t="shared" si="13"/>
        <v>PSE</v>
      </c>
      <c r="B110" s="4" t="s">
        <v>722</v>
      </c>
      <c r="C110" s="4" t="str">
        <f t="shared" si="14"/>
        <v>MENA</v>
      </c>
      <c r="J110">
        <v>110</v>
      </c>
      <c r="K110" t="s">
        <v>544</v>
      </c>
      <c r="L110" t="s">
        <v>545</v>
      </c>
      <c r="M110" t="s">
        <v>545</v>
      </c>
      <c r="N110" t="s">
        <v>196</v>
      </c>
      <c r="O110" t="s">
        <v>207</v>
      </c>
    </row>
    <row r="111" spans="1:15" x14ac:dyDescent="0.25">
      <c r="A111" s="4" t="str">
        <f t="shared" si="13"/>
        <v>QAT</v>
      </c>
      <c r="B111" s="4" t="s">
        <v>722</v>
      </c>
      <c r="C111" s="4" t="str">
        <f t="shared" si="14"/>
        <v>MENA</v>
      </c>
      <c r="J111">
        <v>111</v>
      </c>
      <c r="K111" t="s">
        <v>546</v>
      </c>
      <c r="L111" t="s">
        <v>547</v>
      </c>
      <c r="M111" t="s">
        <v>547</v>
      </c>
      <c r="N111" t="s">
        <v>196</v>
      </c>
      <c r="O111" t="s">
        <v>207</v>
      </c>
    </row>
    <row r="112" spans="1:15" x14ac:dyDescent="0.25">
      <c r="A112" s="4" t="str">
        <f t="shared" si="13"/>
        <v>SAU</v>
      </c>
      <c r="B112" s="4" t="s">
        <v>722</v>
      </c>
      <c r="C112" s="4" t="str">
        <f t="shared" si="14"/>
        <v>MENA</v>
      </c>
      <c r="J112">
        <v>112</v>
      </c>
      <c r="K112" t="s">
        <v>548</v>
      </c>
      <c r="L112" t="s">
        <v>549</v>
      </c>
      <c r="M112" t="s">
        <v>549</v>
      </c>
      <c r="N112" t="s">
        <v>196</v>
      </c>
      <c r="O112" t="s">
        <v>207</v>
      </c>
    </row>
    <row r="113" spans="1:15" x14ac:dyDescent="0.25">
      <c r="A113" s="4" t="str">
        <f t="shared" si="13"/>
        <v>SYR</v>
      </c>
      <c r="B113" s="4" t="s">
        <v>722</v>
      </c>
      <c r="C113" s="4" t="str">
        <f t="shared" si="14"/>
        <v>MENA</v>
      </c>
      <c r="J113">
        <v>113</v>
      </c>
      <c r="K113" t="s">
        <v>550</v>
      </c>
      <c r="L113" t="s">
        <v>551</v>
      </c>
      <c r="M113" t="s">
        <v>551</v>
      </c>
      <c r="N113" t="s">
        <v>196</v>
      </c>
      <c r="O113" t="s">
        <v>207</v>
      </c>
    </row>
    <row r="114" spans="1:15" x14ac:dyDescent="0.25">
      <c r="A114" s="4" t="str">
        <f t="shared" si="13"/>
        <v>TUR</v>
      </c>
      <c r="B114" s="4" t="s">
        <v>722</v>
      </c>
      <c r="C114" s="4" t="str">
        <f t="shared" si="14"/>
        <v>MENA</v>
      </c>
      <c r="J114">
        <v>114</v>
      </c>
      <c r="K114" t="s">
        <v>552</v>
      </c>
      <c r="L114" t="s">
        <v>553</v>
      </c>
      <c r="M114" t="s">
        <v>553</v>
      </c>
      <c r="N114" t="s">
        <v>196</v>
      </c>
      <c r="O114" t="s">
        <v>207</v>
      </c>
    </row>
    <row r="115" spans="1:15" x14ac:dyDescent="0.25">
      <c r="A115" s="4" t="str">
        <f t="shared" si="13"/>
        <v>ARE</v>
      </c>
      <c r="B115" s="4" t="s">
        <v>722</v>
      </c>
      <c r="C115" s="4" t="str">
        <f t="shared" si="14"/>
        <v>MENA</v>
      </c>
      <c r="J115">
        <v>115</v>
      </c>
      <c r="K115" t="s">
        <v>554</v>
      </c>
      <c r="L115" t="s">
        <v>555</v>
      </c>
      <c r="M115" t="s">
        <v>555</v>
      </c>
      <c r="N115" t="s">
        <v>196</v>
      </c>
      <c r="O115" t="s">
        <v>207</v>
      </c>
    </row>
    <row r="116" spans="1:15" x14ac:dyDescent="0.25">
      <c r="A116" s="4" t="str">
        <f t="shared" si="13"/>
        <v>XWS</v>
      </c>
      <c r="B116" s="4" t="s">
        <v>722</v>
      </c>
      <c r="C116" s="4" t="str">
        <f t="shared" si="14"/>
        <v>MENA</v>
      </c>
      <c r="J116">
        <v>116</v>
      </c>
      <c r="K116" t="s">
        <v>557</v>
      </c>
      <c r="L116" t="s">
        <v>558</v>
      </c>
      <c r="M116" t="s">
        <v>559</v>
      </c>
      <c r="N116" t="s">
        <v>196</v>
      </c>
      <c r="O116" t="s">
        <v>207</v>
      </c>
    </row>
    <row r="117" spans="1:15" x14ac:dyDescent="0.25">
      <c r="A117" s="4" t="str">
        <f t="shared" si="13"/>
        <v>DZA</v>
      </c>
      <c r="B117" s="4" t="s">
        <v>722</v>
      </c>
      <c r="C117" s="4" t="str">
        <f t="shared" si="14"/>
        <v>MENA</v>
      </c>
      <c r="J117">
        <v>117</v>
      </c>
      <c r="K117" t="s">
        <v>560</v>
      </c>
      <c r="L117" t="s">
        <v>561</v>
      </c>
      <c r="M117" t="s">
        <v>561</v>
      </c>
      <c r="N117" t="s">
        <v>196</v>
      </c>
      <c r="O117" t="s">
        <v>207</v>
      </c>
    </row>
    <row r="118" spans="1:15" x14ac:dyDescent="0.25">
      <c r="A118" s="4" t="str">
        <f t="shared" si="13"/>
        <v>EGY</v>
      </c>
      <c r="B118" s="4" t="s">
        <v>722</v>
      </c>
      <c r="C118" s="4" t="str">
        <f t="shared" si="14"/>
        <v>MENA</v>
      </c>
      <c r="J118">
        <v>118</v>
      </c>
      <c r="K118" t="s">
        <v>562</v>
      </c>
      <c r="L118" t="s">
        <v>563</v>
      </c>
      <c r="M118" t="s">
        <v>563</v>
      </c>
      <c r="N118" t="s">
        <v>196</v>
      </c>
      <c r="O118" t="s">
        <v>207</v>
      </c>
    </row>
    <row r="119" spans="1:15" x14ac:dyDescent="0.25">
      <c r="A119" s="4" t="str">
        <f t="shared" si="13"/>
        <v>MAR</v>
      </c>
      <c r="B119" s="4" t="s">
        <v>722</v>
      </c>
      <c r="C119" s="4" t="str">
        <f t="shared" si="14"/>
        <v>MENA</v>
      </c>
      <c r="J119">
        <v>119</v>
      </c>
      <c r="K119" t="s">
        <v>564</v>
      </c>
      <c r="L119" t="s">
        <v>565</v>
      </c>
      <c r="M119" t="s">
        <v>565</v>
      </c>
      <c r="N119" t="s">
        <v>196</v>
      </c>
      <c r="O119" t="s">
        <v>207</v>
      </c>
    </row>
    <row r="120" spans="1:15" x14ac:dyDescent="0.25">
      <c r="A120" s="4" t="str">
        <f t="shared" si="13"/>
        <v>TUN</v>
      </c>
      <c r="B120" s="4" t="s">
        <v>722</v>
      </c>
      <c r="C120" s="4" t="str">
        <f t="shared" si="14"/>
        <v>MENA</v>
      </c>
      <c r="J120">
        <v>120</v>
      </c>
      <c r="K120" t="s">
        <v>566</v>
      </c>
      <c r="L120" t="s">
        <v>567</v>
      </c>
      <c r="M120" t="s">
        <v>567</v>
      </c>
      <c r="N120" t="s">
        <v>196</v>
      </c>
      <c r="O120" t="s">
        <v>207</v>
      </c>
    </row>
    <row r="121" spans="1:15" x14ac:dyDescent="0.25">
      <c r="A121" s="4" t="str">
        <f t="shared" si="13"/>
        <v>XNF</v>
      </c>
      <c r="B121" s="4" t="s">
        <v>722</v>
      </c>
      <c r="C121" s="4" t="str">
        <f t="shared" si="14"/>
        <v>MENA</v>
      </c>
      <c r="J121">
        <v>121</v>
      </c>
      <c r="K121" t="s">
        <v>569</v>
      </c>
      <c r="L121" t="s">
        <v>570</v>
      </c>
      <c r="M121" t="s">
        <v>571</v>
      </c>
      <c r="N121" t="s">
        <v>196</v>
      </c>
      <c r="O121" t="s">
        <v>207</v>
      </c>
    </row>
    <row r="122" spans="1:15" x14ac:dyDescent="0.25">
      <c r="A122" s="4" t="str">
        <f t="shared" si="13"/>
        <v>BEN</v>
      </c>
      <c r="B122" s="4" t="s">
        <v>722</v>
      </c>
      <c r="C122" s="4" t="str">
        <f t="shared" si="14"/>
        <v>SSA</v>
      </c>
      <c r="J122">
        <v>122</v>
      </c>
      <c r="K122" t="s">
        <v>574</v>
      </c>
      <c r="L122" t="s">
        <v>575</v>
      </c>
      <c r="M122" t="s">
        <v>575</v>
      </c>
      <c r="N122" t="s">
        <v>16</v>
      </c>
      <c r="O122" t="s">
        <v>206</v>
      </c>
    </row>
    <row r="123" spans="1:15" x14ac:dyDescent="0.25">
      <c r="A123" s="4" t="str">
        <f t="shared" si="13"/>
        <v>BFA</v>
      </c>
      <c r="B123" s="4" t="s">
        <v>722</v>
      </c>
      <c r="C123" s="4" t="str">
        <f t="shared" si="14"/>
        <v>SSA</v>
      </c>
      <c r="J123">
        <v>123</v>
      </c>
      <c r="K123" t="s">
        <v>576</v>
      </c>
      <c r="L123" t="s">
        <v>577</v>
      </c>
      <c r="M123" t="s">
        <v>577</v>
      </c>
      <c r="N123" t="s">
        <v>16</v>
      </c>
      <c r="O123" t="s">
        <v>206</v>
      </c>
    </row>
    <row r="124" spans="1:15" x14ac:dyDescent="0.25">
      <c r="A124" s="4" t="str">
        <f t="shared" si="13"/>
        <v>CMR</v>
      </c>
      <c r="B124" s="4" t="s">
        <v>722</v>
      </c>
      <c r="C124" s="4" t="str">
        <f t="shared" si="14"/>
        <v>SSA</v>
      </c>
      <c r="J124">
        <v>124</v>
      </c>
      <c r="K124" t="s">
        <v>578</v>
      </c>
      <c r="L124" t="s">
        <v>579</v>
      </c>
      <c r="M124" t="s">
        <v>579</v>
      </c>
      <c r="N124" t="s">
        <v>16</v>
      </c>
      <c r="O124" t="s">
        <v>206</v>
      </c>
    </row>
    <row r="125" spans="1:15" x14ac:dyDescent="0.25">
      <c r="A125" s="4" t="str">
        <f t="shared" si="13"/>
        <v>CIV</v>
      </c>
      <c r="B125" s="4" t="s">
        <v>722</v>
      </c>
      <c r="C125" s="4" t="str">
        <f t="shared" si="14"/>
        <v>SSA</v>
      </c>
      <c r="J125">
        <v>125</v>
      </c>
      <c r="K125" t="s">
        <v>580</v>
      </c>
      <c r="L125" t="s">
        <v>581</v>
      </c>
      <c r="M125" t="s">
        <v>581</v>
      </c>
      <c r="N125" t="s">
        <v>16</v>
      </c>
      <c r="O125" t="s">
        <v>206</v>
      </c>
    </row>
    <row r="126" spans="1:15" x14ac:dyDescent="0.25">
      <c r="A126" s="4" t="str">
        <f t="shared" si="13"/>
        <v>GHA</v>
      </c>
      <c r="B126" s="4" t="s">
        <v>722</v>
      </c>
      <c r="C126" s="4" t="str">
        <f t="shared" si="14"/>
        <v>SSA</v>
      </c>
      <c r="J126">
        <v>126</v>
      </c>
      <c r="K126" t="s">
        <v>582</v>
      </c>
      <c r="L126" t="s">
        <v>583</v>
      </c>
      <c r="M126" t="s">
        <v>583</v>
      </c>
      <c r="N126" t="s">
        <v>16</v>
      </c>
      <c r="O126" t="s">
        <v>206</v>
      </c>
    </row>
    <row r="127" spans="1:15" x14ac:dyDescent="0.25">
      <c r="A127" s="4" t="str">
        <f t="shared" si="13"/>
        <v>GIN</v>
      </c>
      <c r="B127" s="4" t="s">
        <v>722</v>
      </c>
      <c r="C127" s="4" t="str">
        <f t="shared" si="14"/>
        <v>SSA</v>
      </c>
      <c r="J127">
        <v>127</v>
      </c>
      <c r="K127" t="s">
        <v>584</v>
      </c>
      <c r="L127" t="s">
        <v>585</v>
      </c>
      <c r="M127" t="s">
        <v>585</v>
      </c>
      <c r="N127" t="s">
        <v>16</v>
      </c>
      <c r="O127" t="s">
        <v>206</v>
      </c>
    </row>
    <row r="128" spans="1:15" x14ac:dyDescent="0.25">
      <c r="A128" s="4" t="str">
        <f t="shared" si="13"/>
        <v>MLI</v>
      </c>
      <c r="B128" s="4" t="s">
        <v>722</v>
      </c>
      <c r="C128" s="4" t="str">
        <f t="shared" si="14"/>
        <v>SSA</v>
      </c>
      <c r="J128">
        <v>128</v>
      </c>
      <c r="K128" t="s">
        <v>586</v>
      </c>
      <c r="L128" t="s">
        <v>587</v>
      </c>
      <c r="M128" t="s">
        <v>587</v>
      </c>
      <c r="N128" t="s">
        <v>16</v>
      </c>
      <c r="O128" t="s">
        <v>206</v>
      </c>
    </row>
    <row r="129" spans="1:15" x14ac:dyDescent="0.25">
      <c r="A129" s="4" t="str">
        <f t="shared" si="13"/>
        <v>NER</v>
      </c>
      <c r="B129" s="4" t="s">
        <v>722</v>
      </c>
      <c r="C129" s="4" t="str">
        <f t="shared" si="14"/>
        <v>SSA</v>
      </c>
      <c r="J129">
        <v>129</v>
      </c>
      <c r="K129" t="s">
        <v>588</v>
      </c>
      <c r="L129" t="s">
        <v>589</v>
      </c>
      <c r="M129" t="s">
        <v>589</v>
      </c>
      <c r="N129" t="s">
        <v>16</v>
      </c>
      <c r="O129" t="s">
        <v>206</v>
      </c>
    </row>
    <row r="130" spans="1:15" x14ac:dyDescent="0.25">
      <c r="A130" s="4" t="str">
        <f t="shared" ref="A130:A160" si="32">K130</f>
        <v>NGA</v>
      </c>
      <c r="B130" s="4" t="s">
        <v>722</v>
      </c>
      <c r="C130" s="4" t="str">
        <f t="shared" ref="C130:C160" si="33">N130</f>
        <v>SSA</v>
      </c>
      <c r="J130">
        <v>130</v>
      </c>
      <c r="K130" t="s">
        <v>590</v>
      </c>
      <c r="L130" t="s">
        <v>591</v>
      </c>
      <c r="M130" t="s">
        <v>591</v>
      </c>
      <c r="N130" t="s">
        <v>16</v>
      </c>
      <c r="O130" t="s">
        <v>206</v>
      </c>
    </row>
    <row r="131" spans="1:15" x14ac:dyDescent="0.25">
      <c r="A131" s="4" t="str">
        <f t="shared" si="32"/>
        <v>SEN</v>
      </c>
      <c r="B131" s="4" t="s">
        <v>722</v>
      </c>
      <c r="C131" s="4" t="str">
        <f t="shared" si="33"/>
        <v>SSA</v>
      </c>
      <c r="J131">
        <v>131</v>
      </c>
      <c r="K131" t="s">
        <v>592</v>
      </c>
      <c r="L131" t="s">
        <v>593</v>
      </c>
      <c r="M131" t="s">
        <v>593</v>
      </c>
      <c r="N131" t="s">
        <v>16</v>
      </c>
      <c r="O131" t="s">
        <v>206</v>
      </c>
    </row>
    <row r="132" spans="1:15" x14ac:dyDescent="0.25">
      <c r="A132" s="4" t="str">
        <f t="shared" si="32"/>
        <v>TGO</v>
      </c>
      <c r="B132" s="4" t="s">
        <v>722</v>
      </c>
      <c r="C132" s="4" t="str">
        <f t="shared" si="33"/>
        <v>SSA</v>
      </c>
      <c r="J132">
        <v>132</v>
      </c>
      <c r="K132" t="s">
        <v>594</v>
      </c>
      <c r="L132" t="s">
        <v>595</v>
      </c>
      <c r="M132" t="s">
        <v>595</v>
      </c>
      <c r="N132" t="s">
        <v>16</v>
      </c>
      <c r="O132" t="s">
        <v>206</v>
      </c>
    </row>
    <row r="133" spans="1:15" x14ac:dyDescent="0.25">
      <c r="A133" s="4" t="str">
        <f t="shared" si="32"/>
        <v>XWF</v>
      </c>
      <c r="B133" s="4" t="s">
        <v>722</v>
      </c>
      <c r="C133" s="4" t="str">
        <f t="shared" si="33"/>
        <v>SSA</v>
      </c>
      <c r="J133">
        <v>133</v>
      </c>
      <c r="K133" t="s">
        <v>597</v>
      </c>
      <c r="L133" t="s">
        <v>598</v>
      </c>
      <c r="M133" t="s">
        <v>599</v>
      </c>
      <c r="N133" t="s">
        <v>16</v>
      </c>
      <c r="O133" t="s">
        <v>206</v>
      </c>
    </row>
    <row r="134" spans="1:15" x14ac:dyDescent="0.25">
      <c r="A134" s="4" t="str">
        <f t="shared" si="32"/>
        <v>CAF</v>
      </c>
      <c r="B134" s="4" t="s">
        <v>722</v>
      </c>
      <c r="C134" s="4" t="str">
        <f t="shared" si="33"/>
        <v>SSA</v>
      </c>
      <c r="J134">
        <v>134</v>
      </c>
      <c r="K134" t="s">
        <v>612</v>
      </c>
      <c r="L134" t="s">
        <v>613</v>
      </c>
      <c r="M134" t="s">
        <v>613</v>
      </c>
      <c r="N134" t="s">
        <v>16</v>
      </c>
      <c r="O134" t="s">
        <v>206</v>
      </c>
    </row>
    <row r="135" spans="1:15" x14ac:dyDescent="0.25">
      <c r="A135" s="4" t="str">
        <f t="shared" si="32"/>
        <v>TCD</v>
      </c>
      <c r="B135" s="4" t="s">
        <v>722</v>
      </c>
      <c r="C135" s="4" t="str">
        <f t="shared" si="33"/>
        <v>SSA</v>
      </c>
      <c r="J135">
        <v>135</v>
      </c>
      <c r="K135" t="s">
        <v>614</v>
      </c>
      <c r="L135" t="s">
        <v>615</v>
      </c>
      <c r="M135" t="s">
        <v>615</v>
      </c>
      <c r="N135" t="s">
        <v>16</v>
      </c>
      <c r="O135" t="s">
        <v>206</v>
      </c>
    </row>
    <row r="136" spans="1:15" x14ac:dyDescent="0.25">
      <c r="A136" s="4" t="str">
        <f t="shared" si="32"/>
        <v>COG</v>
      </c>
      <c r="B136" s="4" t="s">
        <v>722</v>
      </c>
      <c r="C136" s="4" t="str">
        <f t="shared" si="33"/>
        <v>SSA</v>
      </c>
      <c r="J136">
        <v>136</v>
      </c>
      <c r="K136" t="s">
        <v>616</v>
      </c>
      <c r="L136" t="s">
        <v>617</v>
      </c>
      <c r="M136" t="s">
        <v>617</v>
      </c>
      <c r="N136" t="s">
        <v>16</v>
      </c>
      <c r="O136" t="s">
        <v>206</v>
      </c>
    </row>
    <row r="137" spans="1:15" x14ac:dyDescent="0.25">
      <c r="A137" s="4" t="str">
        <f t="shared" si="32"/>
        <v>COD</v>
      </c>
      <c r="B137" s="4" t="s">
        <v>722</v>
      </c>
      <c r="C137" s="4" t="str">
        <f t="shared" si="33"/>
        <v>SSA</v>
      </c>
      <c r="J137">
        <v>137</v>
      </c>
      <c r="K137" t="s">
        <v>618</v>
      </c>
      <c r="L137" t="s">
        <v>619</v>
      </c>
      <c r="M137" t="s">
        <v>619</v>
      </c>
      <c r="N137" t="s">
        <v>16</v>
      </c>
      <c r="O137" t="s">
        <v>206</v>
      </c>
    </row>
    <row r="138" spans="1:15" x14ac:dyDescent="0.25">
      <c r="A138" s="4" t="str">
        <f t="shared" si="32"/>
        <v>GNQ</v>
      </c>
      <c r="B138" s="4" t="s">
        <v>722</v>
      </c>
      <c r="C138" s="4" t="str">
        <f t="shared" si="33"/>
        <v>SSA</v>
      </c>
      <c r="J138">
        <v>138</v>
      </c>
      <c r="K138" t="s">
        <v>620</v>
      </c>
      <c r="L138" t="s">
        <v>621</v>
      </c>
      <c r="M138" t="s">
        <v>621</v>
      </c>
      <c r="N138" t="s">
        <v>16</v>
      </c>
      <c r="O138" t="s">
        <v>206</v>
      </c>
    </row>
    <row r="139" spans="1:15" x14ac:dyDescent="0.25">
      <c r="A139" s="4" t="str">
        <f t="shared" si="32"/>
        <v>GAB</v>
      </c>
      <c r="B139" s="4" t="s">
        <v>722</v>
      </c>
      <c r="C139" s="4" t="str">
        <f t="shared" si="33"/>
        <v>SSA</v>
      </c>
      <c r="J139">
        <v>139</v>
      </c>
      <c r="K139" t="s">
        <v>622</v>
      </c>
      <c r="L139" t="s">
        <v>623</v>
      </c>
      <c r="M139" t="s">
        <v>623</v>
      </c>
      <c r="N139" t="s">
        <v>16</v>
      </c>
      <c r="O139" t="s">
        <v>206</v>
      </c>
    </row>
    <row r="140" spans="1:15" x14ac:dyDescent="0.25">
      <c r="A140" s="4" t="str">
        <f t="shared" si="32"/>
        <v>XAC</v>
      </c>
      <c r="B140" s="4" t="s">
        <v>722</v>
      </c>
      <c r="C140" s="4" t="str">
        <f t="shared" si="33"/>
        <v>SSA</v>
      </c>
      <c r="J140">
        <v>140</v>
      </c>
      <c r="K140" t="s">
        <v>625</v>
      </c>
      <c r="L140" t="s">
        <v>626</v>
      </c>
      <c r="M140" t="s">
        <v>627</v>
      </c>
      <c r="N140" t="s">
        <v>16</v>
      </c>
      <c r="O140" t="s">
        <v>206</v>
      </c>
    </row>
    <row r="141" spans="1:15" x14ac:dyDescent="0.25">
      <c r="A141" s="4" t="str">
        <f t="shared" si="32"/>
        <v>COM</v>
      </c>
      <c r="B141" s="4" t="s">
        <v>722</v>
      </c>
      <c r="C141" s="4" t="str">
        <f t="shared" si="33"/>
        <v>SSA</v>
      </c>
      <c r="J141">
        <v>141</v>
      </c>
      <c r="K141" t="s">
        <v>630</v>
      </c>
      <c r="L141" t="s">
        <v>631</v>
      </c>
      <c r="M141" t="s">
        <v>631</v>
      </c>
      <c r="N141" t="s">
        <v>16</v>
      </c>
      <c r="O141" t="s">
        <v>206</v>
      </c>
    </row>
    <row r="142" spans="1:15" x14ac:dyDescent="0.25">
      <c r="A142" s="4" t="str">
        <f t="shared" si="32"/>
        <v>ETH</v>
      </c>
      <c r="B142" s="4" t="s">
        <v>722</v>
      </c>
      <c r="C142" s="4" t="str">
        <f t="shared" si="33"/>
        <v>SSA</v>
      </c>
      <c r="J142">
        <v>142</v>
      </c>
      <c r="K142" t="s">
        <v>632</v>
      </c>
      <c r="L142" t="s">
        <v>633</v>
      </c>
      <c r="M142" t="s">
        <v>633</v>
      </c>
      <c r="N142" t="s">
        <v>16</v>
      </c>
      <c r="O142" t="s">
        <v>206</v>
      </c>
    </row>
    <row r="143" spans="1:15" x14ac:dyDescent="0.25">
      <c r="A143" s="4" t="str">
        <f t="shared" si="32"/>
        <v>KEN</v>
      </c>
      <c r="B143" s="4" t="s">
        <v>722</v>
      </c>
      <c r="C143" s="4" t="str">
        <f t="shared" si="33"/>
        <v>SSA</v>
      </c>
      <c r="J143">
        <v>143</v>
      </c>
      <c r="K143" t="s">
        <v>634</v>
      </c>
      <c r="L143" t="s">
        <v>635</v>
      </c>
      <c r="M143" t="s">
        <v>635</v>
      </c>
      <c r="N143" t="s">
        <v>16</v>
      </c>
      <c r="O143" t="s">
        <v>206</v>
      </c>
    </row>
    <row r="144" spans="1:15" x14ac:dyDescent="0.25">
      <c r="A144" s="4" t="str">
        <f t="shared" si="32"/>
        <v>MDG</v>
      </c>
      <c r="B144" s="4" t="s">
        <v>722</v>
      </c>
      <c r="C144" s="4" t="str">
        <f t="shared" si="33"/>
        <v>SSA</v>
      </c>
      <c r="J144">
        <v>144</v>
      </c>
      <c r="K144" t="s">
        <v>636</v>
      </c>
      <c r="L144" t="s">
        <v>637</v>
      </c>
      <c r="M144" t="s">
        <v>637</v>
      </c>
      <c r="N144" t="s">
        <v>16</v>
      </c>
      <c r="O144" t="s">
        <v>206</v>
      </c>
    </row>
    <row r="145" spans="1:15" x14ac:dyDescent="0.25">
      <c r="A145" s="4" t="str">
        <f t="shared" si="32"/>
        <v>MWI</v>
      </c>
      <c r="B145" s="4" t="s">
        <v>722</v>
      </c>
      <c r="C145" s="4" t="str">
        <f t="shared" si="33"/>
        <v>SSA</v>
      </c>
      <c r="J145">
        <v>145</v>
      </c>
      <c r="K145" t="s">
        <v>638</v>
      </c>
      <c r="L145" t="s">
        <v>639</v>
      </c>
      <c r="M145" t="s">
        <v>639</v>
      </c>
      <c r="N145" t="s">
        <v>16</v>
      </c>
      <c r="O145" t="s">
        <v>206</v>
      </c>
    </row>
    <row r="146" spans="1:15" x14ac:dyDescent="0.25">
      <c r="A146" s="4" t="str">
        <f t="shared" si="32"/>
        <v>MUS</v>
      </c>
      <c r="B146" s="4" t="s">
        <v>722</v>
      </c>
      <c r="C146" s="4" t="str">
        <f t="shared" si="33"/>
        <v>SSA</v>
      </c>
      <c r="J146">
        <v>146</v>
      </c>
      <c r="K146" t="s">
        <v>640</v>
      </c>
      <c r="L146" t="s">
        <v>641</v>
      </c>
      <c r="M146" t="s">
        <v>641</v>
      </c>
      <c r="N146" t="s">
        <v>16</v>
      </c>
      <c r="O146" t="s">
        <v>206</v>
      </c>
    </row>
    <row r="147" spans="1:15" x14ac:dyDescent="0.25">
      <c r="A147" s="4" t="str">
        <f t="shared" si="32"/>
        <v>MOZ</v>
      </c>
      <c r="B147" s="4" t="s">
        <v>722</v>
      </c>
      <c r="C147" s="4" t="str">
        <f t="shared" si="33"/>
        <v>SSA</v>
      </c>
      <c r="J147">
        <v>147</v>
      </c>
      <c r="K147" t="s">
        <v>642</v>
      </c>
      <c r="L147" t="s">
        <v>643</v>
      </c>
      <c r="M147" t="s">
        <v>643</v>
      </c>
      <c r="N147" t="s">
        <v>16</v>
      </c>
      <c r="O147" t="s">
        <v>206</v>
      </c>
    </row>
    <row r="148" spans="1:15" x14ac:dyDescent="0.25">
      <c r="A148" s="4" t="str">
        <f t="shared" si="32"/>
        <v>RWA</v>
      </c>
      <c r="B148" s="4" t="s">
        <v>722</v>
      </c>
      <c r="C148" s="4" t="str">
        <f t="shared" si="33"/>
        <v>SSA</v>
      </c>
      <c r="J148">
        <v>148</v>
      </c>
      <c r="K148" t="s">
        <v>644</v>
      </c>
      <c r="L148" t="s">
        <v>645</v>
      </c>
      <c r="M148" t="s">
        <v>645</v>
      </c>
      <c r="N148" t="s">
        <v>16</v>
      </c>
      <c r="O148" t="s">
        <v>206</v>
      </c>
    </row>
    <row r="149" spans="1:15" x14ac:dyDescent="0.25">
      <c r="A149" s="4" t="str">
        <f t="shared" si="32"/>
        <v>SDN</v>
      </c>
      <c r="B149" s="4" t="s">
        <v>722</v>
      </c>
      <c r="C149" s="4" t="str">
        <f t="shared" si="33"/>
        <v>SSA</v>
      </c>
      <c r="J149">
        <v>149</v>
      </c>
      <c r="K149" t="s">
        <v>646</v>
      </c>
      <c r="L149" t="s">
        <v>647</v>
      </c>
      <c r="M149" t="s">
        <v>647</v>
      </c>
      <c r="N149" t="s">
        <v>16</v>
      </c>
      <c r="O149" t="s">
        <v>206</v>
      </c>
    </row>
    <row r="150" spans="1:15" x14ac:dyDescent="0.25">
      <c r="A150" s="4" t="str">
        <f t="shared" si="32"/>
        <v>TZA</v>
      </c>
      <c r="B150" s="4" t="s">
        <v>722</v>
      </c>
      <c r="C150" s="4" t="str">
        <f t="shared" si="33"/>
        <v>SSA</v>
      </c>
      <c r="J150">
        <v>150</v>
      </c>
      <c r="K150" t="s">
        <v>648</v>
      </c>
      <c r="L150" t="s">
        <v>649</v>
      </c>
      <c r="M150" t="s">
        <v>649</v>
      </c>
      <c r="N150" t="s">
        <v>16</v>
      </c>
      <c r="O150" t="s">
        <v>206</v>
      </c>
    </row>
    <row r="151" spans="1:15" x14ac:dyDescent="0.25">
      <c r="A151" s="4" t="str">
        <f t="shared" si="32"/>
        <v>UGA</v>
      </c>
      <c r="B151" s="4" t="s">
        <v>722</v>
      </c>
      <c r="C151" s="4" t="str">
        <f t="shared" si="33"/>
        <v>SSA</v>
      </c>
      <c r="J151">
        <v>151</v>
      </c>
      <c r="K151" t="s">
        <v>650</v>
      </c>
      <c r="L151" t="s">
        <v>651</v>
      </c>
      <c r="M151" t="s">
        <v>651</v>
      </c>
      <c r="N151" t="s">
        <v>16</v>
      </c>
      <c r="O151" t="s">
        <v>206</v>
      </c>
    </row>
    <row r="152" spans="1:15" x14ac:dyDescent="0.25">
      <c r="A152" s="4" t="str">
        <f t="shared" si="32"/>
        <v>ZMB</v>
      </c>
      <c r="B152" s="4" t="s">
        <v>722</v>
      </c>
      <c r="C152" s="4" t="str">
        <f t="shared" si="33"/>
        <v>SSA</v>
      </c>
      <c r="J152">
        <v>152</v>
      </c>
      <c r="K152" t="s">
        <v>652</v>
      </c>
      <c r="L152" t="s">
        <v>653</v>
      </c>
      <c r="M152" t="s">
        <v>653</v>
      </c>
      <c r="N152" t="s">
        <v>16</v>
      </c>
      <c r="O152" t="s">
        <v>206</v>
      </c>
    </row>
    <row r="153" spans="1:15" x14ac:dyDescent="0.25">
      <c r="A153" s="4" t="str">
        <f t="shared" si="32"/>
        <v>ZWE</v>
      </c>
      <c r="B153" s="4" t="s">
        <v>722</v>
      </c>
      <c r="C153" s="4" t="str">
        <f t="shared" si="33"/>
        <v>SSA</v>
      </c>
      <c r="J153">
        <v>153</v>
      </c>
      <c r="K153" t="s">
        <v>654</v>
      </c>
      <c r="L153" t="s">
        <v>655</v>
      </c>
      <c r="M153" t="s">
        <v>655</v>
      </c>
      <c r="N153" t="s">
        <v>16</v>
      </c>
      <c r="O153" t="s">
        <v>206</v>
      </c>
    </row>
    <row r="154" spans="1:15" x14ac:dyDescent="0.25">
      <c r="A154" s="4" t="str">
        <f t="shared" si="32"/>
        <v>XEC</v>
      </c>
      <c r="B154" s="4" t="s">
        <v>722</v>
      </c>
      <c r="C154" s="4" t="str">
        <f t="shared" si="33"/>
        <v>SSA</v>
      </c>
      <c r="J154">
        <v>154</v>
      </c>
      <c r="K154" t="s">
        <v>657</v>
      </c>
      <c r="L154" t="s">
        <v>658</v>
      </c>
      <c r="M154" t="s">
        <v>659</v>
      </c>
      <c r="N154" t="s">
        <v>16</v>
      </c>
      <c r="O154" t="s">
        <v>206</v>
      </c>
    </row>
    <row r="155" spans="1:15" x14ac:dyDescent="0.25">
      <c r="A155" s="4" t="str">
        <f t="shared" si="32"/>
        <v>BWA</v>
      </c>
      <c r="B155" s="4" t="s">
        <v>722</v>
      </c>
      <c r="C155" s="4" t="str">
        <f t="shared" si="33"/>
        <v>SSA</v>
      </c>
      <c r="J155">
        <v>155</v>
      </c>
      <c r="K155" t="s">
        <v>672</v>
      </c>
      <c r="L155" t="s">
        <v>673</v>
      </c>
      <c r="M155" t="s">
        <v>673</v>
      </c>
      <c r="N155" t="s">
        <v>16</v>
      </c>
      <c r="O155" t="s">
        <v>206</v>
      </c>
    </row>
    <row r="156" spans="1:15" x14ac:dyDescent="0.25">
      <c r="A156" s="4" t="str">
        <f t="shared" si="32"/>
        <v>SWZ</v>
      </c>
      <c r="B156" s="4" t="s">
        <v>722</v>
      </c>
      <c r="C156" s="4" t="str">
        <f t="shared" si="33"/>
        <v>SSA</v>
      </c>
      <c r="J156">
        <v>156</v>
      </c>
      <c r="K156" t="s">
        <v>674</v>
      </c>
      <c r="L156" t="s">
        <v>675</v>
      </c>
      <c r="M156" t="s">
        <v>675</v>
      </c>
      <c r="N156" t="s">
        <v>16</v>
      </c>
      <c r="O156" t="s">
        <v>206</v>
      </c>
    </row>
    <row r="157" spans="1:15" x14ac:dyDescent="0.25">
      <c r="A157" s="4" t="str">
        <f t="shared" si="32"/>
        <v>NAM</v>
      </c>
      <c r="B157" s="4" t="s">
        <v>722</v>
      </c>
      <c r="C157" s="4" t="str">
        <f t="shared" si="33"/>
        <v>SSA</v>
      </c>
      <c r="J157">
        <v>157</v>
      </c>
      <c r="K157" t="s">
        <v>676</v>
      </c>
      <c r="L157" t="s">
        <v>677</v>
      </c>
      <c r="M157" t="s">
        <v>677</v>
      </c>
      <c r="N157" t="s">
        <v>16</v>
      </c>
      <c r="O157" t="s">
        <v>206</v>
      </c>
    </row>
    <row r="158" spans="1:15" x14ac:dyDescent="0.25">
      <c r="A158" s="4" t="str">
        <f t="shared" si="32"/>
        <v>ZAF</v>
      </c>
      <c r="B158" s="4" t="s">
        <v>722</v>
      </c>
      <c r="C158" s="4" t="str">
        <f t="shared" si="33"/>
        <v>SAfrica</v>
      </c>
      <c r="J158">
        <v>158</v>
      </c>
      <c r="K158" t="s">
        <v>678</v>
      </c>
      <c r="L158" t="s">
        <v>195</v>
      </c>
      <c r="M158" t="s">
        <v>195</v>
      </c>
      <c r="N158" t="s">
        <v>679</v>
      </c>
      <c r="O158" t="s">
        <v>195</v>
      </c>
    </row>
    <row r="159" spans="1:15" x14ac:dyDescent="0.25">
      <c r="A159" s="4" t="str">
        <f t="shared" si="32"/>
        <v>XSC</v>
      </c>
      <c r="B159" s="4" t="s">
        <v>722</v>
      </c>
      <c r="C159" s="4" t="str">
        <f t="shared" si="33"/>
        <v>SAfrica</v>
      </c>
      <c r="J159">
        <v>159</v>
      </c>
      <c r="K159" t="s">
        <v>681</v>
      </c>
      <c r="L159" t="s">
        <v>682</v>
      </c>
      <c r="M159" t="s">
        <v>683</v>
      </c>
      <c r="N159" t="s">
        <v>679</v>
      </c>
      <c r="O159" t="s">
        <v>206</v>
      </c>
    </row>
    <row r="160" spans="1:15" x14ac:dyDescent="0.25">
      <c r="A160" s="4" t="str">
        <f t="shared" si="32"/>
        <v>XTW</v>
      </c>
      <c r="B160" s="4" t="s">
        <v>722</v>
      </c>
      <c r="C160" s="4" t="str">
        <f t="shared" si="33"/>
        <v>LACA</v>
      </c>
      <c r="J160">
        <v>160</v>
      </c>
      <c r="K160" t="s">
        <v>685</v>
      </c>
      <c r="L160" t="s">
        <v>686</v>
      </c>
      <c r="M160" t="s">
        <v>687</v>
      </c>
      <c r="N160" t="s">
        <v>342</v>
      </c>
      <c r="O160" t="s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89F6-AF64-4530-87EE-D24DE8F2AB50}">
  <dimension ref="A1:I18"/>
  <sheetViews>
    <sheetView workbookViewId="0">
      <selection activeCell="I11" sqref="I11"/>
    </sheetView>
  </sheetViews>
  <sheetFormatPr defaultRowHeight="15" x14ac:dyDescent="0.25"/>
  <sheetData>
    <row r="1" spans="1:9" x14ac:dyDescent="0.25">
      <c r="A1" t="s">
        <v>1052</v>
      </c>
      <c r="B1" t="s">
        <v>743</v>
      </c>
      <c r="C1" t="s">
        <v>1053</v>
      </c>
      <c r="D1" t="s">
        <v>743</v>
      </c>
      <c r="E1">
        <v>-1</v>
      </c>
      <c r="F1" t="s">
        <v>743</v>
      </c>
      <c r="I1" t="str">
        <f>A1&amp;B1&amp;C1&amp;D1&amp;E1&amp;F1</f>
        <v xml:space="preserve">Land &amp; sluggish &amp; -1 &amp; </v>
      </c>
    </row>
    <row r="2" spans="1:9" x14ac:dyDescent="0.25">
      <c r="A2" t="s">
        <v>1056</v>
      </c>
      <c r="B2" t="s">
        <v>743</v>
      </c>
      <c r="C2" t="s">
        <v>1054</v>
      </c>
      <c r="D2" t="s">
        <v>743</v>
      </c>
      <c r="E2" t="s">
        <v>1062</v>
      </c>
      <c r="F2" t="s">
        <v>743</v>
      </c>
      <c r="I2" t="str">
        <f t="shared" ref="I2:I8" si="0">A2&amp;B2&amp;C2&amp;D2&amp;E2&amp;F2</f>
        <v xml:space="preserve">tech_aspros &amp; mobile &amp; --- &amp; </v>
      </c>
    </row>
    <row r="3" spans="1:9" x14ac:dyDescent="0.25">
      <c r="A3" t="s">
        <v>1057</v>
      </c>
      <c r="B3" t="s">
        <v>743</v>
      </c>
      <c r="C3" t="s">
        <v>1054</v>
      </c>
      <c r="D3" t="s">
        <v>743</v>
      </c>
      <c r="E3" t="s">
        <v>1062</v>
      </c>
      <c r="F3" t="s">
        <v>743</v>
      </c>
      <c r="I3" t="str">
        <f t="shared" si="0"/>
        <v xml:space="preserve">clerks &amp; mobile &amp; --- &amp; </v>
      </c>
    </row>
    <row r="4" spans="1:9" x14ac:dyDescent="0.25">
      <c r="A4" t="s">
        <v>1058</v>
      </c>
      <c r="B4" t="s">
        <v>743</v>
      </c>
      <c r="C4" t="s">
        <v>1054</v>
      </c>
      <c r="D4" t="s">
        <v>743</v>
      </c>
      <c r="E4" t="s">
        <v>1062</v>
      </c>
      <c r="F4" t="s">
        <v>743</v>
      </c>
      <c r="I4" t="str">
        <f t="shared" si="0"/>
        <v xml:space="preserve">service_shop &amp; mobile &amp; --- &amp; </v>
      </c>
    </row>
    <row r="5" spans="1:9" x14ac:dyDescent="0.25">
      <c r="A5" t="s">
        <v>1059</v>
      </c>
      <c r="B5" t="s">
        <v>743</v>
      </c>
      <c r="C5" t="s">
        <v>1054</v>
      </c>
      <c r="D5" t="s">
        <v>743</v>
      </c>
      <c r="E5" t="s">
        <v>1062</v>
      </c>
      <c r="F5" t="s">
        <v>743</v>
      </c>
      <c r="I5" t="str">
        <f t="shared" si="0"/>
        <v xml:space="preserve">off_mgr_pros &amp; mobile &amp; --- &amp; </v>
      </c>
    </row>
    <row r="6" spans="1:9" x14ac:dyDescent="0.25">
      <c r="A6" t="s">
        <v>1060</v>
      </c>
      <c r="B6" t="s">
        <v>743</v>
      </c>
      <c r="C6" t="s">
        <v>1054</v>
      </c>
      <c r="D6" t="s">
        <v>743</v>
      </c>
      <c r="E6" t="s">
        <v>1062</v>
      </c>
      <c r="F6" t="s">
        <v>743</v>
      </c>
      <c r="I6" t="str">
        <f t="shared" si="0"/>
        <v xml:space="preserve">ag_othlowsk &amp; mobile &amp; --- &amp; </v>
      </c>
    </row>
    <row r="7" spans="1:9" x14ac:dyDescent="0.25">
      <c r="A7" t="s">
        <v>1055</v>
      </c>
      <c r="B7" t="s">
        <v>743</v>
      </c>
      <c r="C7" t="s">
        <v>1054</v>
      </c>
      <c r="D7" t="s">
        <v>743</v>
      </c>
      <c r="E7" t="s">
        <v>1062</v>
      </c>
      <c r="F7" t="s">
        <v>743</v>
      </c>
      <c r="I7" t="str">
        <f t="shared" si="0"/>
        <v xml:space="preserve">Capital &amp; mobile &amp; --- &amp; </v>
      </c>
    </row>
    <row r="8" spans="1:9" x14ac:dyDescent="0.25">
      <c r="A8" t="s">
        <v>1061</v>
      </c>
      <c r="B8" t="s">
        <v>743</v>
      </c>
      <c r="C8" t="s">
        <v>1053</v>
      </c>
      <c r="D8" t="s">
        <v>743</v>
      </c>
      <c r="E8">
        <v>-1.0000000000000001E-5</v>
      </c>
      <c r="F8" t="s">
        <v>743</v>
      </c>
      <c r="I8" t="str">
        <f t="shared" si="0"/>
        <v xml:space="preserve">NatlRes &amp; sluggish &amp; -0.00001 &amp; </v>
      </c>
    </row>
    <row r="11" spans="1:9" x14ac:dyDescent="0.25">
      <c r="A11" t="s">
        <v>1052</v>
      </c>
      <c r="B11" t="s">
        <v>1068</v>
      </c>
      <c r="C11" t="s">
        <v>1052</v>
      </c>
      <c r="D11" t="s">
        <v>743</v>
      </c>
      <c r="E11" t="s">
        <v>1052</v>
      </c>
      <c r="I11" t="str">
        <f>C11&amp;D11&amp;E11</f>
        <v>Land &amp; Land</v>
      </c>
    </row>
    <row r="12" spans="1:9" x14ac:dyDescent="0.25">
      <c r="A12" t="s">
        <v>1056</v>
      </c>
      <c r="C12" t="s">
        <v>1063</v>
      </c>
      <c r="D12" t="s">
        <v>743</v>
      </c>
      <c r="E12" t="s">
        <v>1056</v>
      </c>
      <c r="I12" t="str">
        <f t="shared" ref="I12:I18" si="1">A12&amp;B12&amp;C12&amp;D12&amp;E12</f>
        <v>tech_asprosTechnicians/AssocProfessional &amp; tech_aspros</v>
      </c>
    </row>
    <row r="13" spans="1:9" x14ac:dyDescent="0.25">
      <c r="A13" t="s">
        <v>1057</v>
      </c>
      <c r="C13" t="s">
        <v>1064</v>
      </c>
      <c r="D13" t="s">
        <v>743</v>
      </c>
      <c r="E13" t="s">
        <v>1057</v>
      </c>
      <c r="I13" t="str">
        <f t="shared" si="1"/>
        <v>clerksClerks &amp; clerks</v>
      </c>
    </row>
    <row r="14" spans="1:9" x14ac:dyDescent="0.25">
      <c r="A14" t="s">
        <v>1058</v>
      </c>
      <c r="C14" t="s">
        <v>1065</v>
      </c>
      <c r="D14" t="s">
        <v>743</v>
      </c>
      <c r="E14" t="s">
        <v>1058</v>
      </c>
      <c r="I14" t="str">
        <f t="shared" si="1"/>
        <v>service_shopService/Shop workers &amp; service_shop</v>
      </c>
    </row>
    <row r="15" spans="1:9" x14ac:dyDescent="0.25">
      <c r="A15" t="s">
        <v>1059</v>
      </c>
      <c r="C15" t="s">
        <v>1066</v>
      </c>
      <c r="D15" t="s">
        <v>743</v>
      </c>
      <c r="E15" t="s">
        <v>1059</v>
      </c>
      <c r="I15" t="str">
        <f t="shared" si="1"/>
        <v>off_mgr_prosOfficials and Managers &amp; off_mgr_pros</v>
      </c>
    </row>
    <row r="16" spans="1:9" x14ac:dyDescent="0.25">
      <c r="A16" t="s">
        <v>1060</v>
      </c>
      <c r="C16" t="s">
        <v>1067</v>
      </c>
      <c r="D16" t="s">
        <v>743</v>
      </c>
      <c r="E16" t="s">
        <v>1060</v>
      </c>
      <c r="I16" t="str">
        <f t="shared" si="1"/>
        <v>ag_othlowskAgricultural and Unskilled &amp; ag_othlowsk</v>
      </c>
    </row>
    <row r="17" spans="1:9" x14ac:dyDescent="0.25">
      <c r="A17" t="s">
        <v>1055</v>
      </c>
      <c r="C17" t="s">
        <v>1055</v>
      </c>
      <c r="D17" t="s">
        <v>743</v>
      </c>
      <c r="E17" t="s">
        <v>1055</v>
      </c>
      <c r="I17" t="str">
        <f t="shared" si="1"/>
        <v>CapitalCapital &amp; Capital</v>
      </c>
    </row>
    <row r="18" spans="1:9" x14ac:dyDescent="0.25">
      <c r="A18" t="s">
        <v>1061</v>
      </c>
      <c r="C18" t="s">
        <v>1061</v>
      </c>
      <c r="D18" t="s">
        <v>743</v>
      </c>
      <c r="E18" t="s">
        <v>1061</v>
      </c>
      <c r="I18" t="str">
        <f t="shared" si="1"/>
        <v>NatlResNatlRes &amp; NatlRes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F7E4-157E-4350-A2A7-82ED485D1BBF}">
  <dimension ref="A1:I20"/>
  <sheetViews>
    <sheetView workbookViewId="0">
      <selection activeCell="F1" sqref="F1"/>
    </sheetView>
  </sheetViews>
  <sheetFormatPr defaultRowHeight="15" x14ac:dyDescent="0.25"/>
  <sheetData>
    <row r="1" spans="1:9" x14ac:dyDescent="0.25">
      <c r="A1" t="s">
        <v>1052</v>
      </c>
      <c r="B1" t="s">
        <v>743</v>
      </c>
      <c r="C1" t="s">
        <v>1053</v>
      </c>
      <c r="D1" t="s">
        <v>743</v>
      </c>
      <c r="E1">
        <v>-1</v>
      </c>
      <c r="F1" t="s">
        <v>743</v>
      </c>
      <c r="I1" s="4" t="str">
        <f>A1&amp;B1&amp;C1&amp;D1&amp;E1&amp;F1</f>
        <v xml:space="preserve">Land &amp; sluggish &amp; -1 &amp; </v>
      </c>
    </row>
    <row r="2" spans="1:9" x14ac:dyDescent="0.25">
      <c r="A2" t="s">
        <v>1071</v>
      </c>
      <c r="B2" t="s">
        <v>743</v>
      </c>
      <c r="C2" t="s">
        <v>1054</v>
      </c>
      <c r="D2" t="s">
        <v>743</v>
      </c>
      <c r="E2" t="s">
        <v>1062</v>
      </c>
      <c r="F2" t="s">
        <v>743</v>
      </c>
      <c r="I2" s="4" t="str">
        <f t="shared" ref="I2:I5" si="0">A2&amp;B2&amp;C2&amp;D2&amp;E2&amp;F2</f>
        <v xml:space="preserve">SkLab &amp; mobile &amp; --- &amp; </v>
      </c>
    </row>
    <row r="3" spans="1:9" x14ac:dyDescent="0.25">
      <c r="A3" t="s">
        <v>1072</v>
      </c>
      <c r="B3" t="s">
        <v>743</v>
      </c>
      <c r="C3" t="s">
        <v>1054</v>
      </c>
      <c r="D3" t="s">
        <v>743</v>
      </c>
      <c r="E3" t="s">
        <v>1062</v>
      </c>
      <c r="F3" t="s">
        <v>743</v>
      </c>
      <c r="I3" s="4" t="str">
        <f t="shared" si="0"/>
        <v xml:space="preserve">USkLab &amp; mobile &amp; --- &amp; </v>
      </c>
    </row>
    <row r="4" spans="1:9" x14ac:dyDescent="0.25">
      <c r="A4" t="s">
        <v>1055</v>
      </c>
      <c r="B4" t="s">
        <v>743</v>
      </c>
      <c r="C4" t="s">
        <v>1054</v>
      </c>
      <c r="D4" t="s">
        <v>743</v>
      </c>
      <c r="E4" t="s">
        <v>1062</v>
      </c>
      <c r="F4" t="s">
        <v>743</v>
      </c>
      <c r="I4" s="4" t="str">
        <f t="shared" si="0"/>
        <v xml:space="preserve">Capital &amp; mobile &amp; --- &amp; </v>
      </c>
    </row>
    <row r="5" spans="1:9" x14ac:dyDescent="0.25">
      <c r="A5" t="s">
        <v>1075</v>
      </c>
      <c r="B5" t="s">
        <v>743</v>
      </c>
      <c r="C5" t="s">
        <v>1053</v>
      </c>
      <c r="D5" t="s">
        <v>743</v>
      </c>
      <c r="E5">
        <v>-1.0000000000000001E-5</v>
      </c>
      <c r="F5" t="s">
        <v>743</v>
      </c>
      <c r="I5" s="4" t="str">
        <f t="shared" si="0"/>
        <v xml:space="preserve">NatRes &amp; sluggish &amp; -0.00001 &amp; </v>
      </c>
    </row>
    <row r="13" spans="1:9" x14ac:dyDescent="0.25">
      <c r="A13" t="s">
        <v>1052</v>
      </c>
      <c r="B13" t="s">
        <v>744</v>
      </c>
      <c r="C13" t="s">
        <v>1052</v>
      </c>
      <c r="D13" t="s">
        <v>743</v>
      </c>
      <c r="E13" t="s">
        <v>1052</v>
      </c>
      <c r="I13" t="str">
        <f>A13&amp;B13&amp;C13&amp;D13&amp;E13</f>
        <v>Land             Land &amp; Land</v>
      </c>
    </row>
    <row r="14" spans="1:9" x14ac:dyDescent="0.25">
      <c r="A14" t="s">
        <v>1056</v>
      </c>
      <c r="B14" t="s">
        <v>744</v>
      </c>
      <c r="C14" t="s">
        <v>1063</v>
      </c>
      <c r="D14" t="s">
        <v>743</v>
      </c>
      <c r="E14" t="s">
        <v>1071</v>
      </c>
      <c r="I14" t="str">
        <f t="shared" ref="I14:I20" si="1">A14&amp;B14&amp;C14&amp;D14&amp;E14</f>
        <v>tech_aspros             Technicians/AssocProfessional &amp; SkLab</v>
      </c>
    </row>
    <row r="15" spans="1:9" x14ac:dyDescent="0.25">
      <c r="A15" t="s">
        <v>1057</v>
      </c>
      <c r="B15" t="s">
        <v>744</v>
      </c>
      <c r="C15" t="s">
        <v>1064</v>
      </c>
      <c r="D15" t="s">
        <v>743</v>
      </c>
      <c r="E15" t="s">
        <v>1072</v>
      </c>
      <c r="I15" t="str">
        <f t="shared" si="1"/>
        <v>clerks             Clerks &amp; USkLab</v>
      </c>
    </row>
    <row r="16" spans="1:9" x14ac:dyDescent="0.25">
      <c r="A16" t="s">
        <v>1058</v>
      </c>
      <c r="B16" t="s">
        <v>744</v>
      </c>
      <c r="C16" t="s">
        <v>1065</v>
      </c>
      <c r="D16" t="s">
        <v>743</v>
      </c>
      <c r="E16" t="s">
        <v>1072</v>
      </c>
      <c r="I16" t="str">
        <f t="shared" si="1"/>
        <v>service_shop             Service/Shop workers &amp; USkLab</v>
      </c>
    </row>
    <row r="17" spans="1:9" x14ac:dyDescent="0.25">
      <c r="A17" t="s">
        <v>1059</v>
      </c>
      <c r="B17" t="s">
        <v>744</v>
      </c>
      <c r="C17" t="s">
        <v>1066</v>
      </c>
      <c r="D17" t="s">
        <v>743</v>
      </c>
      <c r="E17" t="s">
        <v>1071</v>
      </c>
      <c r="I17" t="str">
        <f t="shared" si="1"/>
        <v>off_mgr_pros             Officials and Managers &amp; SkLab</v>
      </c>
    </row>
    <row r="18" spans="1:9" x14ac:dyDescent="0.25">
      <c r="A18" t="s">
        <v>1060</v>
      </c>
      <c r="B18" t="s">
        <v>744</v>
      </c>
      <c r="C18" t="s">
        <v>1067</v>
      </c>
      <c r="D18" t="s">
        <v>743</v>
      </c>
      <c r="E18" t="s">
        <v>1072</v>
      </c>
      <c r="I18" t="str">
        <f t="shared" si="1"/>
        <v>ag_othlowsk             Agricultural and Unskilled &amp; USkLab</v>
      </c>
    </row>
    <row r="19" spans="1:9" x14ac:dyDescent="0.25">
      <c r="A19" t="s">
        <v>1055</v>
      </c>
      <c r="B19" t="s">
        <v>744</v>
      </c>
      <c r="C19" t="s">
        <v>1055</v>
      </c>
      <c r="D19" t="s">
        <v>743</v>
      </c>
      <c r="E19" t="s">
        <v>1055</v>
      </c>
      <c r="I19" t="str">
        <f t="shared" si="1"/>
        <v>Capital             Capital &amp; Capital</v>
      </c>
    </row>
    <row r="20" spans="1:9" x14ac:dyDescent="0.25">
      <c r="A20" t="s">
        <v>1061</v>
      </c>
      <c r="B20" t="s">
        <v>744</v>
      </c>
      <c r="C20" t="s">
        <v>1075</v>
      </c>
      <c r="D20" t="s">
        <v>743</v>
      </c>
      <c r="E20" t="s">
        <v>1075</v>
      </c>
      <c r="I20" t="str">
        <f t="shared" si="1"/>
        <v>NatlRes             NatRes &amp; NatRes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ICES_MH_sec</vt:lpstr>
      <vt:lpstr>ICES_MH_reg</vt:lpstr>
      <vt:lpstr>old_sect</vt:lpstr>
      <vt:lpstr>new_sec</vt:lpstr>
      <vt:lpstr>old_sec_mapping</vt:lpstr>
      <vt:lpstr>new_sec_mapping</vt:lpstr>
      <vt:lpstr>old_reg</vt:lpstr>
      <vt:lpstr>new_reg</vt:lpstr>
      <vt:lpstr>old_reg_mapping</vt:lpstr>
      <vt:lpstr>new_reg_mapping</vt:lpstr>
      <vt:lpstr>endow_old</vt:lpstr>
      <vt:lpstr>endow_new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Lorenza Campagnolo</dc:creator>
  <cp:lastModifiedBy>Lorenza Campagnolo</cp:lastModifiedBy>
  <dcterms:created xsi:type="dcterms:W3CDTF">2024-09-24T10:58:04Z</dcterms:created>
  <dcterms:modified xsi:type="dcterms:W3CDTF">2025-09-03T15:42:21Z</dcterms:modified>
</cp:coreProperties>
</file>